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E:\Areandina\Semillero\Docs\IA-DataFlow Hub - Semillero\Requisitos para aprobar el semillero\3 - Plan de Trabajo\"/>
    </mc:Choice>
  </mc:AlternateContent>
  <xr:revisionPtr revIDLastSave="0" documentId="13_ncr:1_{55D74863-B085-4FEC-8F7A-1B045AF12A08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PLAN DE TRABAJO" sheetId="1" r:id="rId1"/>
    <sheet name="EQUIPO" sheetId="2" state="hidden" r:id="rId2"/>
    <sheet name="INSTRUCTIVO" sheetId="3" r:id="rId3"/>
  </sheet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" i="1" l="1"/>
  <c r="L33" i="1"/>
  <c r="N7" i="1"/>
</calcChain>
</file>

<file path=xl/sharedStrings.xml><?xml version="1.0" encoding="utf-8"?>
<sst xmlns="http://schemas.openxmlformats.org/spreadsheetml/2006/main" count="301" uniqueCount="130">
  <si>
    <t>A</t>
  </si>
  <si>
    <t>PLAN DE TRABAJO</t>
  </si>
  <si>
    <t>ECOSISTEMA IA-DataFlow</t>
  </si>
  <si>
    <t>Área Andina · 2026</t>
  </si>
  <si>
    <t>Semillero de Investigación · Ecosistema IA-DataFlow · Fundación Universitaria del Área Andina</t>
  </si>
  <si>
    <t>Inteligencia Artificial &amp; Data Science</t>
  </si>
  <si>
    <t>PROYECTO:</t>
  </si>
  <si>
    <t>Ecosistema IA-DataFlow</t>
  </si>
  <si>
    <t>LÍDER / DOCENTE:</t>
  </si>
  <si>
    <t>Raúl Bareño Gutiérrez</t>
  </si>
  <si>
    <t>PERÍODO:</t>
  </si>
  <si>
    <t>VERSIÓN:</t>
  </si>
  <si>
    <t>INICIO:</t>
  </si>
  <si>
    <t>01/03/2026</t>
  </si>
  <si>
    <t>FIN ESTIMADO:</t>
  </si>
  <si>
    <t>ACTUALIZACIÓN:</t>
  </si>
  <si>
    <t>18/04/2026</t>
  </si>
  <si>
    <t>TOTAL ACTIVIDADES:</t>
  </si>
  <si>
    <t>COMPLETADAS:</t>
  </si>
  <si>
    <t>NO.</t>
  </si>
  <si>
    <t>TEMA</t>
  </si>
  <si>
    <t>ACTIVIDAD</t>
  </si>
  <si>
    <t>PRODUCTO</t>
  </si>
  <si>
    <t>META
NUMÉRICA</t>
  </si>
  <si>
    <t>RESPONSABLE(S)</t>
  </si>
  <si>
    <t>F. INICIO</t>
  </si>
  <si>
    <t>F. FIN</t>
  </si>
  <si>
    <t>F. ENTREGA</t>
  </si>
  <si>
    <t>RIESGO</t>
  </si>
  <si>
    <t>ENTREGABLE
VERIF.</t>
  </si>
  <si>
    <t>% AVANCE</t>
  </si>
  <si>
    <t>ESTADO</t>
  </si>
  <si>
    <t>APROBADO
POR</t>
  </si>
  <si>
    <t>OBSERVACIONES</t>
  </si>
  <si>
    <t>Sebastián Bautista Martínez</t>
  </si>
  <si>
    <t>15/03/2026</t>
  </si>
  <si>
    <t>Bajo</t>
  </si>
  <si>
    <t>Sí</t>
  </si>
  <si>
    <t>✅ Completado</t>
  </si>
  <si>
    <t>Entregado sin observaciones</t>
  </si>
  <si>
    <t>Juan Diego Mejía Maestre</t>
  </si>
  <si>
    <t>Oscar Antury Avila</t>
  </si>
  <si>
    <t>⏳ En proceso</t>
  </si>
  <si>
    <t>Pohlman Cuartas</t>
  </si>
  <si>
    <t>Registro CvLAC y semillero</t>
  </si>
  <si>
    <t>Todo el equipo</t>
  </si>
  <si>
    <t>Andres Felipe Andrade</t>
  </si>
  <si>
    <t>María Virginia Labarca</t>
  </si>
  <si>
    <t>IA / NLP</t>
  </si>
  <si>
    <t>HU 07: Construcción del Corpus Maestro (150+ Archivos)</t>
  </si>
  <si>
    <t>13/04/2026</t>
  </si>
  <si>
    <t>17/04/2026</t>
  </si>
  <si>
    <t>HU 08: Investigación Exploratoria - Estándar TOON y Tokens</t>
  </si>
  <si>
    <t>IA / ML</t>
  </si>
  <si>
    <t>HU 10: Spike Exploratorio - Selección de Modelo y Fine-Tuning</t>
  </si>
  <si>
    <t>IA / Agentes</t>
  </si>
  <si>
    <t>HU 09: Spike Exploratorio - Agentes, Skills y Comandos de IA</t>
  </si>
  <si>
    <t>David Ospina</t>
  </si>
  <si>
    <t>Roles / Equipo</t>
  </si>
  <si>
    <t>HU 06: Mapeo de Capacidades y Configuración de Roles</t>
  </si>
  <si>
    <t>HU 00: Mapeo de Capacidades Técnicas y Roles del Equipo</t>
  </si>
  <si>
    <t>HU 02: Mapeo de Capacidades y Configuración de Roles</t>
  </si>
  <si>
    <t>HU 03: Mapeo de Capacidades y Configuración de Roles</t>
  </si>
  <si>
    <t>HU 01: Mapeo de Capacidades y Configuración de Roles</t>
  </si>
  <si>
    <t>HU 04: Mapeo de Capacidades y Configuración de Roles</t>
  </si>
  <si>
    <t>HU 05: Mapeo de Capacidades y Configuración de Roles</t>
  </si>
  <si>
    <t>PROMEDIO GENERAL DE AVANCE DEL PROYECTO</t>
  </si>
  <si>
    <t>INSTRUCTIVO DE USO — PLAN DE TRABAJO</t>
  </si>
  <si>
    <t>Semillero de Investigación · Ecosistema IA-DataFlow</t>
  </si>
  <si>
    <t>Fundación Universitaria del Área Andina · 2026</t>
  </si>
  <si>
    <t>COLUMNA</t>
  </si>
  <si>
    <t>DESCRIPCIÓN Y USO</t>
  </si>
  <si>
    <t>VALORES VÁLIDOS / NOTAS</t>
  </si>
  <si>
    <t>Número consecutivo de la actividad. Se asigna manualmente.</t>
  </si>
  <si>
    <t>Entero: 1, 2, 3…</t>
  </si>
  <si>
    <t>Área, módulo o componente del proyecto al que pertenece la actividad.</t>
  </si>
  <si>
    <t>Ej: Backend, UX/UI, Seguridad…</t>
  </si>
  <si>
    <t>Descripción clara y concreta de la tarea a ejecutar.</t>
  </si>
  <si>
    <t>Texto libre</t>
  </si>
  <si>
    <t>Entregable tangible que evidencia el cumplimiento.</t>
  </si>
  <si>
    <t>Documento, prototipo, código, informe…</t>
  </si>
  <si>
    <t>META NUMÉRICA</t>
  </si>
  <si>
    <t>Cuantificación del producto esperado.</t>
  </si>
  <si>
    <t>Ej: 1 informe, 3 diagramas</t>
  </si>
  <si>
    <t>Escriba libremente los nombres de los integrantes a cargo.
Para múltiples responsables sepárelos por coma.
Ej: Juan Diego, David Ospina</t>
  </si>
  <si>
    <t>Texto libre — sin restricción de lista</t>
  </si>
  <si>
    <t>F. INICIO / FIN / ENTREGA</t>
  </si>
  <si>
    <t>Fechas del cronograma de la actividad.</t>
  </si>
  <si>
    <t>Formato DD/MM/AAAA</t>
  </si>
  <si>
    <t>Nivel de riesgo. El color se asigna automáticamente al seleccionar.</t>
  </si>
  <si>
    <t>Alto 🔴 · Medio 🟡 · Bajo 🟢</t>
  </si>
  <si>
    <t>ENTREGABLE VERIF.</t>
  </si>
  <si>
    <t>¿El entregable ya fue verificado o validado?</t>
  </si>
  <si>
    <t>Sí ✅ · No ❌ · N/A</t>
  </si>
  <si>
    <t>Avance como decimal entre 0 y 1. La barra verde crece automáticamente.
Ejemplo: escriba 0.75 para representar el 75%.</t>
  </si>
  <si>
    <t>Decimal de 0 a 1</t>
  </si>
  <si>
    <t>Estado actual de la actividad. Menú desplegable.
El color se asigna automáticamente.</t>
  </si>
  <si>
    <t>✅ Completado · ⏳ En proceso
📅 Pendiente · 🔴 Crítico</t>
  </si>
  <si>
    <t>APROBADO POR</t>
  </si>
  <si>
    <t>Nombre de quien valida el entregable. Menú desplegable con el equipo.</t>
  </si>
  <si>
    <t>Lista desplegable del equipo</t>
  </si>
  <si>
    <t>Notas adicionales, alertas o comentarios sobre la actividad.</t>
  </si>
  <si>
    <t>💡  RESPONSABLES: Esta columna es texto libre. Puede escribir uno o varios nombres separados por coma sin ninguna restricción de lista.</t>
  </si>
  <si>
    <t>👥  INTEGRANTES DEL EQUIPO — ECOSISTEMA IA-DataFlow</t>
  </si>
  <si>
    <t xml:space="preserve">  • Juan Diego Mejía Maestre</t>
  </si>
  <si>
    <t xml:space="preserve">  • David Ospina</t>
  </si>
  <si>
    <t xml:space="preserve">  • Andres Felipe Andrade</t>
  </si>
  <si>
    <t xml:space="preserve">  • Oscar Antury Avila</t>
  </si>
  <si>
    <t xml:space="preserve">  • Sebastián Bautista Martínez</t>
  </si>
  <si>
    <t xml:space="preserve">  • Pohlman Cuartas</t>
  </si>
  <si>
    <t xml:space="preserve">  • María Virginia Labarca</t>
  </si>
  <si>
    <t xml:space="preserve">  🎓  Raúl Bareño Gutiérrez  (Líder / Docente)</t>
  </si>
  <si>
    <t>03/2026 – 08/2026</t>
  </si>
  <si>
    <t>v1</t>
  </si>
  <si>
    <t>30/08/2026</t>
  </si>
  <si>
    <t>Investigacion</t>
  </si>
  <si>
    <t>HU 01: Infraestructura y Viabilidad de Servidores</t>
  </si>
  <si>
    <t xml:space="preserve"> Equipo: Sebastián Bautista Martínez y Andres Felipe Andrade</t>
  </si>
  <si>
    <t xml:space="preserve">Entregable 1: </t>
  </si>
  <si>
    <t xml:space="preserve">Entregable 2: </t>
  </si>
  <si>
    <t>HU 02: Análisis de IA, Herramientas ETL y Economía de Tokens</t>
  </si>
  <si>
    <t>Equipo: Juan Diego Mejía y Brayan Monterrosa</t>
  </si>
  <si>
    <t>HU 03: Stack Tecnológico y Manejo de Procesos</t>
  </si>
  <si>
    <t>Equipo: Juan Diego Mejía y Oscar Antury Avila</t>
  </si>
  <si>
    <t>HU 04: Optimización de UX y Evolución de Dashboards</t>
  </si>
  <si>
    <t>Equipo: Oscar Antury Avila y María Virginia Labarca.</t>
  </si>
  <si>
    <t>HU 05: Seguridad, Privacidad y Cumplimiento (Ley 1581)</t>
  </si>
  <si>
    <t>Equipo: Pohlman Cuartas y David Ospina.</t>
  </si>
  <si>
    <t>HU 06: Arquitectura de Software y Modelado UML</t>
  </si>
  <si>
    <t>Equipo: Juan Diego Mejía y David Ospina.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</si>
</sst>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 x14ac:knownFonts="1">
    <font>
      <sz val="11"/>
      <color theme="1"/>
      <name val="Calibri"/>
      <family val="2"/>
      <charset val="1"/>
    </font>
    <font>
      <b/>
      <sz val="22"/>
      <color rgb="FFFFFFFF"/>
      <name val="Arial"/>
      <charset val="1"/>
    </font>
    <font>
      <b/>
      <sz val="22"/>
      <color rgb="FF1A1A1A"/>
      <name val="Arial"/>
      <charset val="1"/>
    </font>
    <font>
      <b/>
      <sz val="11"/>
      <color rgb="FFFFFFFF"/>
      <name val="Arial"/>
      <charset val="1"/>
    </font>
    <font>
      <sz val="9"/>
      <color rgb="FFEDF7D6"/>
      <name val="Arial"/>
      <charset val="1"/>
    </font>
    <font>
      <i/>
      <sz val="9"/>
      <color rgb="FF5A8500"/>
      <name val="Arial"/>
      <charset val="1"/>
    </font>
    <font>
      <i/>
      <sz val="8"/>
      <color rgb="FFB8DC6E"/>
      <name val="Arial"/>
      <charset val="1"/>
    </font>
    <font>
      <b/>
      <sz val="8"/>
      <color rgb="FFFFFFFF"/>
      <name val="Arial"/>
      <charset val="1"/>
    </font>
    <font>
      <b/>
      <sz val="9"/>
      <color rgb="FF5A8500"/>
      <name val="Arial"/>
      <charset val="1"/>
    </font>
    <font>
      <b/>
      <sz val="9"/>
      <color rgb="FF1A1A1A"/>
      <name val="Arial"/>
      <charset val="1"/>
    </font>
    <font>
      <b/>
      <sz val="9"/>
      <color rgb="FFFFFFFF"/>
      <name val="Arial"/>
      <charset val="1"/>
    </font>
    <font>
      <sz val="9"/>
      <color rgb="FF1A1A1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20"/>
      <color rgb="FFFFFFFF"/>
      <name val="Arial"/>
      <charset val="1"/>
    </font>
    <font>
      <b/>
      <sz val="14"/>
      <color rgb="FF1A1A1A"/>
      <name val="Arial"/>
      <charset val="1"/>
    </font>
    <font>
      <i/>
      <sz val="8"/>
      <color rgb="FF666666"/>
      <name val="Arial"/>
      <charset val="1"/>
    </font>
    <font>
      <i/>
      <sz val="9"/>
      <color rgb="FF666666"/>
      <name val="Arial"/>
      <charset val="1"/>
    </font>
    <font>
      <sz val="10"/>
      <color rgb="FF1A1A1A"/>
      <name val="Arial"/>
      <charset val="1"/>
    </font>
    <font>
      <b/>
      <sz val="10"/>
      <color rgb="FF5A8500"/>
      <name val="Arial"/>
      <charset val="1"/>
    </font>
    <font>
      <sz val="8"/>
      <name val="Calibri"/>
      <family val="2"/>
      <charset val="1"/>
    </font>
    <font>
      <sz val="9"/>
      <color rgb="FF1A1A1A"/>
      <name val="Arial"/>
      <family val="2"/>
      <charset val="1"/>
    </font>
    <font>
      <sz val="9"/>
      <color rgb="FF1A1A1A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80BC00"/>
        <bgColor rgb="FF5A8500"/>
      </patternFill>
    </fill>
    <fill>
      <patternFill patternType="solid">
        <fgColor rgb="FFFFFFFF"/>
        <bgColor rgb="FFEDF7D6"/>
      </patternFill>
    </fill>
    <fill>
      <patternFill patternType="solid">
        <fgColor rgb="FF5A8500"/>
        <bgColor rgb="FF7D6608"/>
      </patternFill>
    </fill>
    <fill>
      <patternFill patternType="solid">
        <fgColor rgb="FFEDF7D6"/>
        <bgColor rgb="FFFFFFFF"/>
      </patternFill>
    </fill>
    <fill>
      <patternFill patternType="solid">
        <fgColor rgb="FFB8DC6E"/>
        <bgColor rgb="FFCCCCCC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DC6E"/>
      </left>
      <right style="thin">
        <color rgb="FFB8DC6E"/>
      </right>
      <top style="medium">
        <color rgb="FF80BC00"/>
      </top>
      <bottom style="medium">
        <color rgb="FF80BC00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3" fillId="4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 wrapText="1"/>
    </xf>
    <xf numFmtId="0" fontId="16" fillId="3" borderId="0" xfId="0" applyFont="1" applyFill="1" applyAlignment="1">
      <alignment horizontal="left" vertical="center"/>
    </xf>
    <xf numFmtId="0" fontId="15" fillId="3" borderId="0" xfId="0" applyFont="1" applyFill="1" applyAlignment="1">
      <alignment horizontal="left" vertical="center"/>
    </xf>
    <xf numFmtId="0" fontId="14" fillId="2" borderId="0" xfId="0" applyFont="1" applyFill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0" fontId="6" fillId="4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left" vertical="center"/>
    </xf>
    <xf numFmtId="0" fontId="4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7" fillId="4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0" fillId="6" borderId="0" xfId="0" applyFill="1"/>
    <xf numFmtId="0" fontId="10" fillId="4" borderId="2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left" vertical="center" wrapText="1"/>
    </xf>
    <xf numFmtId="9" fontId="11" fillId="3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left" vertical="center" wrapText="1"/>
    </xf>
    <xf numFmtId="9" fontId="11" fillId="5" borderId="1" xfId="0" applyNumberFormat="1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/>
    </xf>
    <xf numFmtId="164" fontId="13" fillId="2" borderId="3" xfId="0" applyNumberFormat="1" applyFont="1" applyFill="1" applyBorder="1" applyAlignment="1">
      <alignment horizontal="center" vertical="center"/>
    </xf>
    <xf numFmtId="0" fontId="0" fillId="4" borderId="3" xfId="0" applyFill="1" applyBorder="1"/>
    <xf numFmtId="0" fontId="8" fillId="5" borderId="1" xfId="0" applyFont="1" applyFill="1" applyBorder="1" applyAlignment="1">
      <alignment horizontal="left" vertical="center" wrapText="1"/>
    </xf>
    <xf numFmtId="0" fontId="17" fillId="5" borderId="1" xfId="0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17" fillId="3" borderId="1" xfId="0" applyFont="1" applyFill="1" applyBorder="1" applyAlignment="1">
      <alignment horizontal="left" vertical="center" wrapText="1"/>
    </xf>
    <xf numFmtId="0" fontId="18" fillId="5" borderId="1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horizontal="left" vertical="center"/>
    </xf>
    <xf numFmtId="0" fontId="19" fillId="5" borderId="3" xfId="0" applyFont="1" applyFill="1" applyBorder="1" applyAlignment="1">
      <alignment horizontal="left" vertical="center"/>
    </xf>
    <xf numFmtId="14" fontId="11" fillId="3" borderId="1" xfId="0" applyNumberFormat="1" applyFont="1" applyFill="1" applyBorder="1" applyAlignment="1">
      <alignment horizontal="center" vertical="center" wrapText="1"/>
    </xf>
    <xf numFmtId="14" fontId="11" fillId="5" borderId="1" xfId="0" applyNumberFormat="1" applyFont="1" applyFill="1" applyBorder="1" applyAlignment="1">
      <alignment horizontal="center" vertical="center" wrapText="1"/>
    </xf>
    <xf numFmtId="14" fontId="10" fillId="4" borderId="2" xfId="0" applyNumberFormat="1" applyFont="1" applyFill="1" applyBorder="1" applyAlignment="1">
      <alignment horizontal="center" vertical="center" wrapText="1"/>
    </xf>
    <xf numFmtId="0" fontId="21" fillId="3" borderId="1" xfId="0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left" vertical="center" wrapText="1"/>
    </xf>
    <xf numFmtId="0" fontId="22" fillId="5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9">
    <dxf>
      <font>
        <sz val="9"/>
        <color rgb="FF1F4E78"/>
        <name val="Arial"/>
        <charset val="1"/>
      </font>
      <fill>
        <patternFill>
          <bgColor rgb="FFBDD7E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sz val="9"/>
        <color rgb="FF7D6608"/>
        <name val="Arial"/>
        <charset val="1"/>
      </font>
      <fill>
        <patternFill>
          <bgColor rgb="FFFFEB9C"/>
        </patternFill>
      </fill>
    </dxf>
    <dxf>
      <font>
        <b/>
        <sz val="9"/>
        <color rgb="FF276221"/>
        <name val="Arial"/>
        <charset val="1"/>
      </font>
      <fill>
        <patternFill>
          <bgColor rgb="FFC6EFCE"/>
        </patternFill>
      </fill>
    </dxf>
    <dxf>
      <font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276221"/>
        <name val="Arial"/>
        <charset val="1"/>
      </font>
      <fill>
        <patternFill>
          <bgColor rgb="FFC6EFCE"/>
        </patternFill>
      </fill>
    </dxf>
    <dxf>
      <font>
        <sz val="9"/>
        <color rgb="FF276221"/>
        <name val="Arial"/>
        <charset val="1"/>
      </font>
      <fill>
        <patternFill>
          <bgColor rgb="FFC6EFCE"/>
        </patternFill>
      </fill>
    </dxf>
    <dxf>
      <font>
        <sz val="9"/>
        <color rgb="FF7D6608"/>
        <name val="Arial"/>
        <charset val="1"/>
      </font>
      <fill>
        <patternFill>
          <bgColor rgb="FFFFEB9C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7D6608"/>
      <rgbColor rgb="FF800080"/>
      <rgbColor rgb="FF008080"/>
      <rgbColor rgb="FFCCCCCC"/>
      <rgbColor rgb="FF808080"/>
      <rgbColor rgb="FF9999FF"/>
      <rgbColor rgb="FF993366"/>
      <rgbColor rgb="FFEDF7D6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B8DC6E"/>
      <rgbColor rgb="FFFF99CC"/>
      <rgbColor rgb="FFCC99FF"/>
      <rgbColor rgb="FFFFC7CE"/>
      <rgbColor rgb="FF3366FF"/>
      <rgbColor rgb="FF33CCCC"/>
      <rgbColor rgb="FF80BC00"/>
      <rgbColor rgb="FFFFCC00"/>
      <rgbColor rgb="FFFF9900"/>
      <rgbColor rgb="FFFF6600"/>
      <rgbColor rgb="FF666666"/>
      <rgbColor rgb="FF969696"/>
      <rgbColor rgb="FF003366"/>
      <rgbColor rgb="FF5A8500"/>
      <rgbColor rgb="FF003300"/>
      <rgbColor rgb="FF333300"/>
      <rgbColor rgb="FF993300"/>
      <rgbColor rgb="FF993366"/>
      <rgbColor rgb="FF1F4E78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3"/>
  <sheetViews>
    <sheetView tabSelected="1" zoomScale="90" zoomScaleNormal="90" workbookViewId="0">
      <pane ySplit="9" topLeftCell="A10" activePane="bottomLeft" state="frozen"/>
      <selection pane="bottomLeft" activeCell="G9" sqref="G9:I10"/>
    </sheetView>
  </sheetViews>
  <sheetFormatPr baseColWidth="10" defaultColWidth="8.7109375" defaultRowHeight="15" x14ac:dyDescent="0.25"/>
  <cols>
    <col min="1" max="1" width="10.42578125" bestFit="1" customWidth="1"/>
    <col min="2" max="2" width="13.42578125" bestFit="1" customWidth="1"/>
    <col min="3" max="3" width="50.7109375" bestFit="1" customWidth="1"/>
    <col min="4" max="4" width="32.140625" bestFit="1" customWidth="1"/>
    <col min="5" max="5" width="11.28515625" bestFit="1" customWidth="1"/>
    <col min="6" max="6" width="50" bestFit="1" customWidth="1"/>
    <col min="7" max="7" width="14.28515625" bestFit="1" customWidth="1"/>
    <col min="8" max="8" width="9.85546875" bestFit="1" customWidth="1"/>
    <col min="9" max="9" width="10.7109375" bestFit="1" customWidth="1"/>
    <col min="10" max="10" width="17.5703125" bestFit="1" customWidth="1"/>
    <col min="11" max="11" width="10.7109375" bestFit="1" customWidth="1"/>
    <col min="12" max="12" width="10.140625" bestFit="1" customWidth="1"/>
    <col min="13" max="13" width="14.7109375" bestFit="1" customWidth="1"/>
    <col min="14" max="14" width="18.42578125" bestFit="1" customWidth="1"/>
    <col min="15" max="15" width="32.7109375" bestFit="1" customWidth="1"/>
  </cols>
  <sheetData>
    <row r="1" spans="1:15" ht="9.75" customHeight="1" x14ac:dyDescent="0.25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spans="1:15" ht="24" customHeight="1" x14ac:dyDescent="0.25">
      <c r="A2" s="14" t="s">
        <v>0</v>
      </c>
      <c r="B2" s="13" t="s">
        <v>1</v>
      </c>
      <c r="C2" s="13"/>
      <c r="D2" s="13"/>
      <c r="E2" s="13"/>
      <c r="F2" s="13"/>
      <c r="G2" s="13"/>
      <c r="H2" s="13"/>
      <c r="I2" s="13"/>
      <c r="J2" s="13"/>
      <c r="K2" s="12" t="s">
        <v>2</v>
      </c>
      <c r="L2" s="12"/>
      <c r="M2" s="12"/>
      <c r="N2" s="12"/>
      <c r="O2" s="12"/>
    </row>
    <row r="3" spans="1:15" ht="42" customHeight="1" x14ac:dyDescent="0.25">
      <c r="A3" s="14"/>
      <c r="B3" s="14"/>
      <c r="C3" s="13"/>
      <c r="D3" s="13"/>
      <c r="E3" s="13"/>
      <c r="F3" s="13"/>
      <c r="G3" s="13"/>
      <c r="H3" s="13"/>
      <c r="I3" s="13"/>
      <c r="J3" s="13"/>
      <c r="K3" s="11" t="s">
        <v>3</v>
      </c>
      <c r="L3" s="11"/>
      <c r="M3" s="11"/>
      <c r="N3" s="11"/>
      <c r="O3" s="11"/>
    </row>
    <row r="4" spans="1:15" ht="19.5" customHeight="1" x14ac:dyDescent="0.25">
      <c r="A4" s="14"/>
      <c r="B4" s="10" t="s">
        <v>4</v>
      </c>
      <c r="C4" s="10"/>
      <c r="D4" s="10"/>
      <c r="E4" s="10"/>
      <c r="F4" s="10"/>
      <c r="G4" s="10"/>
      <c r="H4" s="10"/>
      <c r="I4" s="10"/>
      <c r="J4" s="10"/>
      <c r="K4" s="9" t="s">
        <v>5</v>
      </c>
      <c r="L4" s="9"/>
      <c r="M4" s="9"/>
      <c r="N4" s="9"/>
      <c r="O4" s="9"/>
    </row>
    <row r="5" spans="1:15" ht="4.5" customHeight="1" x14ac:dyDescent="0.25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</row>
    <row r="6" spans="1:15" ht="21.75" customHeight="1" x14ac:dyDescent="0.25">
      <c r="A6" s="16" t="s">
        <v>6</v>
      </c>
      <c r="B6" s="8" t="s">
        <v>7</v>
      </c>
      <c r="C6" s="8"/>
      <c r="D6" s="8"/>
      <c r="F6" s="16" t="s">
        <v>8</v>
      </c>
      <c r="G6" s="8" t="s">
        <v>9</v>
      </c>
      <c r="H6" s="8"/>
      <c r="I6" s="8"/>
      <c r="J6" s="16" t="s">
        <v>10</v>
      </c>
      <c r="K6" s="8" t="s">
        <v>112</v>
      </c>
      <c r="L6" s="8"/>
      <c r="M6" s="16" t="s">
        <v>11</v>
      </c>
      <c r="N6" s="8" t="s">
        <v>113</v>
      </c>
      <c r="O6" s="8"/>
    </row>
    <row r="7" spans="1:15" ht="21.75" customHeight="1" x14ac:dyDescent="0.25">
      <c r="A7" s="17" t="s">
        <v>12</v>
      </c>
      <c r="B7" s="7" t="s">
        <v>13</v>
      </c>
      <c r="C7" s="7"/>
      <c r="D7" s="17" t="s">
        <v>14</v>
      </c>
      <c r="E7" s="7" t="s">
        <v>114</v>
      </c>
      <c r="F7" s="7"/>
      <c r="G7" s="17" t="s">
        <v>15</v>
      </c>
      <c r="H7" s="7" t="s">
        <v>16</v>
      </c>
      <c r="I7" s="7"/>
      <c r="J7" s="17" t="s">
        <v>17</v>
      </c>
      <c r="K7" s="7">
        <f>COUNTA(A10:A32)</f>
        <v>18</v>
      </c>
      <c r="L7" s="7"/>
      <c r="M7" s="17" t="s">
        <v>18</v>
      </c>
      <c r="N7" s="7">
        <f>COUNTIF(M10:M32,"✅ Completado")</f>
        <v>14</v>
      </c>
      <c r="O7" s="7"/>
    </row>
    <row r="8" spans="1:15" ht="3.75" customHeight="1" x14ac:dyDescent="0.25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</row>
    <row r="9" spans="1:15" ht="36" customHeight="1" x14ac:dyDescent="0.25">
      <c r="A9" s="19" t="s">
        <v>19</v>
      </c>
      <c r="B9" s="19" t="s">
        <v>20</v>
      </c>
      <c r="C9" s="19" t="s">
        <v>21</v>
      </c>
      <c r="D9" s="19" t="s">
        <v>22</v>
      </c>
      <c r="E9" s="19" t="s">
        <v>23</v>
      </c>
      <c r="F9" s="19" t="s">
        <v>24</v>
      </c>
      <c r="G9" s="19" t="s">
        <v>25</v>
      </c>
      <c r="H9" s="19" t="s">
        <v>26</v>
      </c>
      <c r="I9" s="38" t="s">
        <v>27</v>
      </c>
      <c r="J9" s="19" t="s">
        <v>28</v>
      </c>
      <c r="K9" s="19" t="s">
        <v>29</v>
      </c>
      <c r="L9" s="19" t="s">
        <v>30</v>
      </c>
      <c r="M9" s="19" t="s">
        <v>31</v>
      </c>
      <c r="N9" s="19" t="s">
        <v>32</v>
      </c>
      <c r="O9" s="19" t="s">
        <v>33</v>
      </c>
    </row>
    <row r="10" spans="1:15" ht="21.75" customHeight="1" x14ac:dyDescent="0.25">
      <c r="A10" s="20">
        <v>1</v>
      </c>
      <c r="B10" s="21" t="s">
        <v>115</v>
      </c>
      <c r="C10" s="21" t="s">
        <v>116</v>
      </c>
      <c r="D10" s="21" t="s">
        <v>118</v>
      </c>
      <c r="E10" s="20">
        <v>3</v>
      </c>
      <c r="F10" s="21" t="s">
        <v>117</v>
      </c>
      <c r="G10" s="36">
        <v>46025</v>
      </c>
      <c r="H10" s="36" t="s">
        <v>35</v>
      </c>
      <c r="I10" s="36" t="s">
        <v>35</v>
      </c>
      <c r="J10" s="20" t="s">
        <v>36</v>
      </c>
      <c r="K10" s="20" t="s">
        <v>37</v>
      </c>
      <c r="L10" s="22">
        <v>1</v>
      </c>
      <c r="M10" s="39" t="s">
        <v>38</v>
      </c>
      <c r="N10" s="20" t="s">
        <v>45</v>
      </c>
      <c r="O10" s="21" t="s">
        <v>39</v>
      </c>
    </row>
    <row r="11" spans="1:15" ht="21.75" customHeight="1" x14ac:dyDescent="0.25">
      <c r="A11" s="23">
        <v>2</v>
      </c>
      <c r="B11" s="21" t="s">
        <v>115</v>
      </c>
      <c r="C11" s="24" t="s">
        <v>120</v>
      </c>
      <c r="D11" s="21" t="s">
        <v>118</v>
      </c>
      <c r="E11" s="20">
        <v>3</v>
      </c>
      <c r="F11" s="24" t="s">
        <v>121</v>
      </c>
      <c r="G11" s="36">
        <v>46025</v>
      </c>
      <c r="H11" s="36" t="s">
        <v>35</v>
      </c>
      <c r="I11" s="36" t="s">
        <v>35</v>
      </c>
      <c r="J11" s="23" t="s">
        <v>36</v>
      </c>
      <c r="K11" s="20" t="s">
        <v>37</v>
      </c>
      <c r="L11" s="22">
        <v>1</v>
      </c>
      <c r="M11" s="20" t="s">
        <v>38</v>
      </c>
      <c r="N11" s="20" t="s">
        <v>45</v>
      </c>
      <c r="O11" s="21" t="s">
        <v>39</v>
      </c>
    </row>
    <row r="12" spans="1:15" ht="21.75" customHeight="1" x14ac:dyDescent="0.25">
      <c r="A12" s="20">
        <v>3</v>
      </c>
      <c r="B12" s="21" t="s">
        <v>115</v>
      </c>
      <c r="C12" s="21" t="s">
        <v>122</v>
      </c>
      <c r="D12" s="21" t="s">
        <v>118</v>
      </c>
      <c r="E12" s="20">
        <v>3</v>
      </c>
      <c r="F12" s="21" t="s">
        <v>123</v>
      </c>
      <c r="G12" s="36">
        <v>46025</v>
      </c>
      <c r="H12" s="36" t="s">
        <v>35</v>
      </c>
      <c r="I12" s="36" t="s">
        <v>35</v>
      </c>
      <c r="J12" s="20" t="s">
        <v>36</v>
      </c>
      <c r="K12" s="20" t="s">
        <v>37</v>
      </c>
      <c r="L12" s="22">
        <v>1</v>
      </c>
      <c r="M12" s="20" t="s">
        <v>38</v>
      </c>
      <c r="N12" s="20" t="s">
        <v>45</v>
      </c>
      <c r="O12" s="21" t="s">
        <v>39</v>
      </c>
    </row>
    <row r="13" spans="1:15" ht="21.75" customHeight="1" x14ac:dyDescent="0.25">
      <c r="A13" s="23">
        <v>4</v>
      </c>
      <c r="B13" s="21" t="s">
        <v>115</v>
      </c>
      <c r="C13" s="24" t="s">
        <v>124</v>
      </c>
      <c r="D13" s="21" t="s">
        <v>118</v>
      </c>
      <c r="E13" s="20">
        <v>3</v>
      </c>
      <c r="F13" s="24" t="s">
        <v>125</v>
      </c>
      <c r="G13" s="36">
        <v>46025</v>
      </c>
      <c r="H13" s="36" t="s">
        <v>35</v>
      </c>
      <c r="I13" s="36" t="s">
        <v>35</v>
      </c>
      <c r="J13" s="20" t="s">
        <v>36</v>
      </c>
      <c r="K13" s="20" t="s">
        <v>37</v>
      </c>
      <c r="L13" s="22">
        <v>1</v>
      </c>
      <c r="M13" s="20" t="s">
        <v>38</v>
      </c>
      <c r="N13" s="20" t="s">
        <v>45</v>
      </c>
      <c r="O13" s="21" t="s">
        <v>39</v>
      </c>
    </row>
    <row r="14" spans="1:15" ht="21.75" customHeight="1" x14ac:dyDescent="0.25">
      <c r="A14" s="20">
        <v>5</v>
      </c>
      <c r="B14" s="21" t="s">
        <v>115</v>
      </c>
      <c r="C14" s="40" t="s">
        <v>126</v>
      </c>
      <c r="D14" s="21" t="s">
        <v>118</v>
      </c>
      <c r="E14" s="20">
        <v>3</v>
      </c>
      <c r="F14" s="40" t="s">
        <v>127</v>
      </c>
      <c r="G14" s="36">
        <v>46025</v>
      </c>
      <c r="H14" s="36" t="s">
        <v>35</v>
      </c>
      <c r="I14" s="36" t="s">
        <v>35</v>
      </c>
      <c r="J14" s="23" t="s">
        <v>36</v>
      </c>
      <c r="K14" s="20" t="s">
        <v>37</v>
      </c>
      <c r="L14" s="22">
        <v>1</v>
      </c>
      <c r="M14" s="20" t="s">
        <v>38</v>
      </c>
      <c r="N14" s="20" t="s">
        <v>45</v>
      </c>
      <c r="O14" s="21" t="s">
        <v>39</v>
      </c>
    </row>
    <row r="15" spans="1:15" ht="21.75" customHeight="1" x14ac:dyDescent="0.25">
      <c r="A15" s="23">
        <v>6</v>
      </c>
      <c r="B15" s="21" t="s">
        <v>115</v>
      </c>
      <c r="C15" s="41" t="s">
        <v>128</v>
      </c>
      <c r="D15" s="21" t="s">
        <v>118</v>
      </c>
      <c r="E15" s="20">
        <v>3</v>
      </c>
      <c r="F15" s="41" t="s">
        <v>129</v>
      </c>
      <c r="G15" s="36">
        <v>46025</v>
      </c>
      <c r="H15" s="36" t="s">
        <v>35</v>
      </c>
      <c r="I15" s="36" t="s">
        <v>35</v>
      </c>
      <c r="J15" s="20" t="s">
        <v>36</v>
      </c>
      <c r="K15" s="20" t="s">
        <v>37</v>
      </c>
      <c r="L15" s="22">
        <v>1</v>
      </c>
      <c r="M15" s="20" t="s">
        <v>38</v>
      </c>
      <c r="N15" s="20" t="s">
        <v>45</v>
      </c>
      <c r="O15" s="21" t="s">
        <v>39</v>
      </c>
    </row>
    <row r="16" spans="1:15" ht="21.75" customHeight="1" x14ac:dyDescent="0.25">
      <c r="A16" s="20">
        <v>7</v>
      </c>
      <c r="B16" s="21" t="s">
        <v>115</v>
      </c>
      <c r="C16" s="21" t="s">
        <v>44</v>
      </c>
      <c r="D16" s="21" t="s">
        <v>118</v>
      </c>
      <c r="E16" s="20">
        <v>3</v>
      </c>
      <c r="F16" s="21" t="s">
        <v>45</v>
      </c>
      <c r="G16" s="36">
        <v>46025</v>
      </c>
      <c r="H16" s="36" t="s">
        <v>35</v>
      </c>
      <c r="I16" s="36" t="s">
        <v>35</v>
      </c>
      <c r="J16" s="20" t="s">
        <v>36</v>
      </c>
      <c r="K16" s="20" t="s">
        <v>37</v>
      </c>
      <c r="L16" s="22">
        <v>1</v>
      </c>
      <c r="M16" s="20" t="s">
        <v>38</v>
      </c>
      <c r="N16" s="20" t="s">
        <v>45</v>
      </c>
      <c r="O16" s="21" t="s">
        <v>39</v>
      </c>
    </row>
    <row r="17" spans="1:15" ht="21.75" customHeight="1" x14ac:dyDescent="0.25">
      <c r="A17" s="23">
        <v>10</v>
      </c>
      <c r="B17" s="24" t="s">
        <v>48</v>
      </c>
      <c r="C17" s="24" t="s">
        <v>49</v>
      </c>
      <c r="D17" s="21" t="s">
        <v>119</v>
      </c>
      <c r="E17" s="23"/>
      <c r="F17" s="24" t="s">
        <v>46</v>
      </c>
      <c r="G17" s="37" t="s">
        <v>50</v>
      </c>
      <c r="H17" s="37" t="s">
        <v>51</v>
      </c>
      <c r="I17" s="37" t="s">
        <v>51</v>
      </c>
      <c r="J17" s="20" t="s">
        <v>36</v>
      </c>
      <c r="K17" s="20" t="s">
        <v>37</v>
      </c>
      <c r="L17" s="25">
        <v>0.6</v>
      </c>
      <c r="M17" s="23" t="s">
        <v>42</v>
      </c>
      <c r="N17" s="20"/>
      <c r="O17" s="21" t="s">
        <v>39</v>
      </c>
    </row>
    <row r="18" spans="1:15" ht="21.75" customHeight="1" x14ac:dyDescent="0.25">
      <c r="A18" s="20">
        <v>11</v>
      </c>
      <c r="B18" s="21" t="s">
        <v>48</v>
      </c>
      <c r="C18" s="21" t="s">
        <v>52</v>
      </c>
      <c r="D18" s="21" t="s">
        <v>119</v>
      </c>
      <c r="E18" s="20"/>
      <c r="F18" s="21" t="s">
        <v>46</v>
      </c>
      <c r="G18" s="36" t="s">
        <v>50</v>
      </c>
      <c r="H18" s="36" t="s">
        <v>51</v>
      </c>
      <c r="I18" s="36" t="s">
        <v>51</v>
      </c>
      <c r="J18" s="23" t="s">
        <v>36</v>
      </c>
      <c r="K18" s="20" t="s">
        <v>37</v>
      </c>
      <c r="L18" s="22">
        <v>0.5</v>
      </c>
      <c r="M18" s="20" t="s">
        <v>42</v>
      </c>
      <c r="N18" s="20"/>
      <c r="O18" s="21" t="s">
        <v>39</v>
      </c>
    </row>
    <row r="19" spans="1:15" ht="21.75" customHeight="1" x14ac:dyDescent="0.25">
      <c r="A19" s="23">
        <v>12</v>
      </c>
      <c r="B19" s="24" t="s">
        <v>53</v>
      </c>
      <c r="C19" s="24" t="s">
        <v>54</v>
      </c>
      <c r="D19" s="21" t="s">
        <v>119</v>
      </c>
      <c r="E19" s="23"/>
      <c r="F19" s="24" t="s">
        <v>40</v>
      </c>
      <c r="G19" s="37" t="s">
        <v>50</v>
      </c>
      <c r="H19" s="37" t="s">
        <v>51</v>
      </c>
      <c r="I19" s="37" t="s">
        <v>51</v>
      </c>
      <c r="J19" s="20" t="s">
        <v>36</v>
      </c>
      <c r="K19" s="20" t="s">
        <v>37</v>
      </c>
      <c r="L19" s="25">
        <v>0.4</v>
      </c>
      <c r="M19" s="23" t="s">
        <v>42</v>
      </c>
      <c r="N19" s="20"/>
      <c r="O19" s="21" t="s">
        <v>39</v>
      </c>
    </row>
    <row r="20" spans="1:15" ht="21.75" customHeight="1" x14ac:dyDescent="0.25">
      <c r="A20" s="20">
        <v>13</v>
      </c>
      <c r="B20" s="21" t="s">
        <v>55</v>
      </c>
      <c r="C20" s="21" t="s">
        <v>56</v>
      </c>
      <c r="D20" s="21" t="s">
        <v>119</v>
      </c>
      <c r="E20" s="20"/>
      <c r="F20" s="21" t="s">
        <v>57</v>
      </c>
      <c r="G20" s="36" t="s">
        <v>50</v>
      </c>
      <c r="H20" s="36" t="s">
        <v>51</v>
      </c>
      <c r="I20" s="36" t="s">
        <v>51</v>
      </c>
      <c r="J20" s="20" t="s">
        <v>36</v>
      </c>
      <c r="K20" s="20" t="s">
        <v>37</v>
      </c>
      <c r="L20" s="22">
        <v>0.4</v>
      </c>
      <c r="M20" s="20" t="s">
        <v>42</v>
      </c>
      <c r="N20" s="20"/>
      <c r="O20" s="21" t="s">
        <v>39</v>
      </c>
    </row>
    <row r="21" spans="1:15" ht="21.75" customHeight="1" x14ac:dyDescent="0.25">
      <c r="A21" s="23">
        <v>14</v>
      </c>
      <c r="B21" s="24" t="s">
        <v>58</v>
      </c>
      <c r="C21" s="24" t="s">
        <v>59</v>
      </c>
      <c r="D21" s="21" t="s">
        <v>119</v>
      </c>
      <c r="E21" s="23"/>
      <c r="F21" s="24" t="s">
        <v>40</v>
      </c>
      <c r="G21" s="37" t="s">
        <v>50</v>
      </c>
      <c r="H21" s="37" t="s">
        <v>51</v>
      </c>
      <c r="I21" s="37" t="s">
        <v>51</v>
      </c>
      <c r="J21" s="23" t="s">
        <v>36</v>
      </c>
      <c r="K21" s="20" t="s">
        <v>37</v>
      </c>
      <c r="L21" s="25">
        <v>1</v>
      </c>
      <c r="M21" s="23" t="s">
        <v>38</v>
      </c>
      <c r="N21" s="20"/>
      <c r="O21" s="21" t="s">
        <v>39</v>
      </c>
    </row>
    <row r="22" spans="1:15" ht="21.75" customHeight="1" x14ac:dyDescent="0.25">
      <c r="A22" s="20">
        <v>15</v>
      </c>
      <c r="B22" s="21" t="s">
        <v>58</v>
      </c>
      <c r="C22" s="21" t="s">
        <v>60</v>
      </c>
      <c r="D22" s="21" t="s">
        <v>119</v>
      </c>
      <c r="E22" s="20"/>
      <c r="F22" s="21" t="s">
        <v>40</v>
      </c>
      <c r="G22" s="36" t="s">
        <v>50</v>
      </c>
      <c r="H22" s="36" t="s">
        <v>51</v>
      </c>
      <c r="I22" s="36" t="s">
        <v>51</v>
      </c>
      <c r="J22" s="20" t="s">
        <v>36</v>
      </c>
      <c r="K22" s="20" t="s">
        <v>37</v>
      </c>
      <c r="L22" s="22">
        <v>1</v>
      </c>
      <c r="M22" s="20" t="s">
        <v>38</v>
      </c>
      <c r="N22" s="20"/>
      <c r="O22" s="21" t="s">
        <v>39</v>
      </c>
    </row>
    <row r="23" spans="1:15" ht="21.75" customHeight="1" x14ac:dyDescent="0.25">
      <c r="A23" s="23">
        <v>16</v>
      </c>
      <c r="B23" s="24" t="s">
        <v>58</v>
      </c>
      <c r="C23" s="24" t="s">
        <v>61</v>
      </c>
      <c r="D23" s="21" t="s">
        <v>119</v>
      </c>
      <c r="E23" s="23"/>
      <c r="F23" s="24" t="s">
        <v>46</v>
      </c>
      <c r="G23" s="37" t="s">
        <v>50</v>
      </c>
      <c r="H23" s="37" t="s">
        <v>51</v>
      </c>
      <c r="I23" s="37" t="s">
        <v>51</v>
      </c>
      <c r="J23" s="20" t="s">
        <v>36</v>
      </c>
      <c r="K23" s="20" t="s">
        <v>37</v>
      </c>
      <c r="L23" s="25">
        <v>1</v>
      </c>
      <c r="M23" s="23" t="s">
        <v>38</v>
      </c>
      <c r="N23" s="20"/>
      <c r="O23" s="21" t="s">
        <v>39</v>
      </c>
    </row>
    <row r="24" spans="1:15" ht="21.75" customHeight="1" x14ac:dyDescent="0.25">
      <c r="A24" s="20">
        <v>17</v>
      </c>
      <c r="B24" s="21" t="s">
        <v>58</v>
      </c>
      <c r="C24" s="21" t="s">
        <v>62</v>
      </c>
      <c r="D24" s="21" t="s">
        <v>119</v>
      </c>
      <c r="E24" s="20"/>
      <c r="F24" s="21" t="s">
        <v>57</v>
      </c>
      <c r="G24" s="36" t="s">
        <v>50</v>
      </c>
      <c r="H24" s="36" t="s">
        <v>51</v>
      </c>
      <c r="I24" s="36" t="s">
        <v>51</v>
      </c>
      <c r="J24" s="23" t="s">
        <v>36</v>
      </c>
      <c r="K24" s="20" t="s">
        <v>37</v>
      </c>
      <c r="L24" s="22">
        <v>1</v>
      </c>
      <c r="M24" s="20" t="s">
        <v>38</v>
      </c>
      <c r="N24" s="20"/>
      <c r="O24" s="21" t="s">
        <v>39</v>
      </c>
    </row>
    <row r="25" spans="1:15" ht="21.75" customHeight="1" x14ac:dyDescent="0.25">
      <c r="A25" s="23">
        <v>18</v>
      </c>
      <c r="B25" s="24" t="s">
        <v>58</v>
      </c>
      <c r="C25" s="24" t="s">
        <v>63</v>
      </c>
      <c r="D25" s="21" t="s">
        <v>119</v>
      </c>
      <c r="E25" s="23"/>
      <c r="F25" s="24" t="s">
        <v>43</v>
      </c>
      <c r="G25" s="37" t="s">
        <v>50</v>
      </c>
      <c r="H25" s="37" t="s">
        <v>51</v>
      </c>
      <c r="I25" s="37" t="s">
        <v>51</v>
      </c>
      <c r="J25" s="20" t="s">
        <v>36</v>
      </c>
      <c r="K25" s="20" t="s">
        <v>37</v>
      </c>
      <c r="L25" s="25">
        <v>1</v>
      </c>
      <c r="M25" s="23" t="s">
        <v>38</v>
      </c>
      <c r="N25" s="20"/>
      <c r="O25" s="21" t="s">
        <v>39</v>
      </c>
    </row>
    <row r="26" spans="1:15" ht="21.75" customHeight="1" x14ac:dyDescent="0.25">
      <c r="A26" s="20">
        <v>19</v>
      </c>
      <c r="B26" s="21" t="s">
        <v>58</v>
      </c>
      <c r="C26" s="21" t="s">
        <v>64</v>
      </c>
      <c r="D26" s="21" t="s">
        <v>119</v>
      </c>
      <c r="E26" s="20"/>
      <c r="F26" s="21" t="s">
        <v>47</v>
      </c>
      <c r="G26" s="36" t="s">
        <v>50</v>
      </c>
      <c r="H26" s="36" t="s">
        <v>51</v>
      </c>
      <c r="I26" s="36" t="s">
        <v>51</v>
      </c>
      <c r="J26" s="20" t="s">
        <v>36</v>
      </c>
      <c r="K26" s="20" t="s">
        <v>37</v>
      </c>
      <c r="L26" s="22">
        <v>1</v>
      </c>
      <c r="M26" s="20" t="s">
        <v>38</v>
      </c>
      <c r="N26" s="20"/>
      <c r="O26" s="21" t="s">
        <v>39</v>
      </c>
    </row>
    <row r="27" spans="1:15" ht="21.75" customHeight="1" x14ac:dyDescent="0.25">
      <c r="A27" s="23">
        <v>20</v>
      </c>
      <c r="B27" s="24" t="s">
        <v>58</v>
      </c>
      <c r="C27" s="24" t="s">
        <v>65</v>
      </c>
      <c r="D27" s="21" t="s">
        <v>119</v>
      </c>
      <c r="E27" s="23"/>
      <c r="F27" s="24" t="s">
        <v>34</v>
      </c>
      <c r="G27" s="37" t="s">
        <v>50</v>
      </c>
      <c r="H27" s="37" t="s">
        <v>51</v>
      </c>
      <c r="I27" s="37" t="s">
        <v>51</v>
      </c>
      <c r="J27" s="23" t="s">
        <v>36</v>
      </c>
      <c r="K27" s="20" t="s">
        <v>37</v>
      </c>
      <c r="L27" s="25">
        <v>1</v>
      </c>
      <c r="M27" s="23" t="s">
        <v>38</v>
      </c>
      <c r="N27" s="20"/>
      <c r="O27" s="21" t="s">
        <v>39</v>
      </c>
    </row>
    <row r="28" spans="1:15" ht="21.75" customHeight="1" x14ac:dyDescent="0.25">
      <c r="A28" s="20"/>
      <c r="B28" s="21"/>
      <c r="C28" s="21"/>
      <c r="D28" s="21"/>
      <c r="E28" s="20"/>
      <c r="F28" s="21"/>
      <c r="G28" s="20"/>
      <c r="H28" s="20"/>
      <c r="I28" s="20"/>
      <c r="J28" s="20"/>
      <c r="K28" s="20"/>
      <c r="L28" s="20"/>
      <c r="M28" s="20"/>
      <c r="N28" s="20"/>
      <c r="O28" s="21"/>
    </row>
    <row r="29" spans="1:15" ht="21.75" customHeight="1" x14ac:dyDescent="0.25">
      <c r="A29" s="23"/>
      <c r="B29" s="24"/>
      <c r="C29" s="24"/>
      <c r="D29" s="24"/>
      <c r="E29" s="23"/>
      <c r="F29" s="24"/>
      <c r="G29" s="23"/>
      <c r="H29" s="23"/>
      <c r="I29" s="23"/>
      <c r="J29" s="23"/>
      <c r="K29" s="23"/>
      <c r="L29" s="23"/>
      <c r="M29" s="23"/>
      <c r="N29" s="23"/>
      <c r="O29" s="24"/>
    </row>
    <row r="30" spans="1:15" ht="21.75" customHeight="1" x14ac:dyDescent="0.25">
      <c r="A30" s="20"/>
      <c r="B30" s="21"/>
      <c r="C30" s="21"/>
      <c r="D30" s="21"/>
      <c r="E30" s="20"/>
      <c r="F30" s="21"/>
      <c r="G30" s="20"/>
      <c r="H30" s="20"/>
      <c r="I30" s="20"/>
      <c r="J30" s="20"/>
      <c r="K30" s="20"/>
      <c r="L30" s="20"/>
      <c r="M30" s="20"/>
      <c r="N30" s="20"/>
      <c r="O30" s="21"/>
    </row>
    <row r="31" spans="1:15" ht="21.75" customHeight="1" x14ac:dyDescent="0.25">
      <c r="A31" s="23"/>
      <c r="B31" s="24"/>
      <c r="C31" s="24"/>
      <c r="D31" s="24"/>
      <c r="E31" s="23"/>
      <c r="F31" s="24"/>
      <c r="G31" s="23"/>
      <c r="H31" s="23"/>
      <c r="I31" s="23"/>
      <c r="J31" s="23"/>
      <c r="K31" s="23"/>
      <c r="L31" s="23"/>
      <c r="M31" s="23"/>
      <c r="N31" s="23"/>
      <c r="O31" s="24"/>
    </row>
    <row r="32" spans="1:15" ht="21.75" customHeight="1" x14ac:dyDescent="0.25">
      <c r="A32" s="20"/>
      <c r="B32" s="21"/>
      <c r="C32" s="21"/>
      <c r="D32" s="21"/>
      <c r="E32" s="20"/>
      <c r="F32" s="21"/>
      <c r="G32" s="20"/>
      <c r="H32" s="20"/>
      <c r="I32" s="20"/>
      <c r="J32" s="20"/>
      <c r="K32" s="20"/>
      <c r="L32" s="20"/>
      <c r="M32" s="20"/>
      <c r="N32" s="20"/>
      <c r="O32" s="21"/>
    </row>
    <row r="33" spans="1:15" ht="25.5" customHeight="1" x14ac:dyDescent="0.25">
      <c r="A33" s="6" t="s">
        <v>66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27">
        <f>IFERROR(AVERAGEIF(L10:L32,"&gt;0",L10:L32),0)</f>
        <v>0.8833333333333333</v>
      </c>
      <c r="M33" s="28"/>
      <c r="N33" s="28"/>
      <c r="O33" s="28"/>
    </row>
  </sheetData>
  <mergeCells count="16">
    <mergeCell ref="A33:K33"/>
    <mergeCell ref="B6:D6"/>
    <mergeCell ref="G6:I6"/>
    <mergeCell ref="K6:L6"/>
    <mergeCell ref="N6:O6"/>
    <mergeCell ref="B7:C7"/>
    <mergeCell ref="E7:F7"/>
    <mergeCell ref="H7:I7"/>
    <mergeCell ref="K7:L7"/>
    <mergeCell ref="N7:O7"/>
    <mergeCell ref="A2:A4"/>
    <mergeCell ref="B2:J3"/>
    <mergeCell ref="K2:O2"/>
    <mergeCell ref="K3:O3"/>
    <mergeCell ref="B4:J4"/>
    <mergeCell ref="K4:O4"/>
  </mergeCells>
  <phoneticPr fontId="20" type="noConversion"/>
  <conditionalFormatting sqref="J10:J32">
    <cfRule type="cellIs" dxfId="8" priority="6" operator="equal">
      <formula>"Alto"</formula>
    </cfRule>
    <cfRule type="cellIs" dxfId="7" priority="7" operator="equal">
      <formula>"Medio"</formula>
    </cfRule>
    <cfRule type="cellIs" dxfId="6" priority="8" operator="equal">
      <formula>"Bajo"</formula>
    </cfRule>
  </conditionalFormatting>
  <conditionalFormatting sqref="K10:K32">
    <cfRule type="cellIs" dxfId="5" priority="9" operator="equal">
      <formula>"Sí"</formula>
    </cfRule>
    <cfRule type="cellIs" dxfId="4" priority="10" operator="equal">
      <formula>"No"</formula>
    </cfRule>
  </conditionalFormatting>
  <conditionalFormatting sqref="L10:L32">
    <cfRule type="dataBar" priority="11">
      <dataBar>
        <cfvo type="num" val="0"/>
        <cfvo type="num" val="1"/>
        <color rgb="FF5A8500"/>
      </dataBar>
      <extLst>
        <ext xmlns:x14="http://schemas.microsoft.com/office/spreadsheetml/2009/9/main" uri="{B025F937-C7B1-47D3-B67F-A62EFF666E3E}">
          <x14:id>{9F20A214-C590-4190-B4E4-BCB02B5B74D7}</x14:id>
        </ext>
      </extLst>
    </cfRule>
  </conditionalFormatting>
  <conditionalFormatting sqref="M10:M32">
    <cfRule type="cellIs" dxfId="3" priority="2" operator="equal">
      <formula>"✅ Completado"</formula>
    </cfRule>
    <cfRule type="cellIs" dxfId="2" priority="3" operator="equal">
      <formula>"⏳ En proceso"</formula>
    </cfRule>
    <cfRule type="cellIs" dxfId="1" priority="4" operator="equal">
      <formula>"🔴 Crítico"</formula>
    </cfRule>
    <cfRule type="cellIs" dxfId="0" priority="5" operator="equal">
      <formula>"📅 Pendiente"</formula>
    </cfRule>
  </conditionalFormatting>
  <dataValidations count="3">
    <dataValidation type="list" allowBlank="1" sqref="M10:M32" xr:uid="{00000000-0002-0000-0000-000000000000}">
      <formula1>"✅ Completado,⏳ En proceso,📅 Pendiente,🔴 Crítico"</formula1>
      <formula2>0</formula2>
    </dataValidation>
    <dataValidation type="list" allowBlank="1" sqref="J10:J32" xr:uid="{00000000-0002-0000-0000-000001000000}">
      <formula1>"Alto,Medio,Bajo"</formula1>
      <formula2>0</formula2>
    </dataValidation>
    <dataValidation type="list" allowBlank="1" sqref="K10:K32" xr:uid="{00000000-0002-0000-0000-000002000000}">
      <formula1>"Sí,No,N/A"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F20A214-C590-4190-B4E4-BCB02B5B74D7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5A8500"/>
            </x14:dataBar>
          </x14:cfRule>
          <xm:sqref>L10:L32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3000000}">
          <x14:formula1>
            <xm:f>EQUIPO!$A$1:$A$9</xm:f>
          </x14:formula1>
          <x14:formula2>
            <xm:f>0</xm:f>
          </x14:formula2>
          <xm:sqref>N10:N32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"/>
  <sheetViews>
    <sheetView zoomScaleNormal="100" workbookViewId="0"/>
  </sheetViews>
  <sheetFormatPr baseColWidth="10" defaultColWidth="8.7109375" defaultRowHeight="15" x14ac:dyDescent="0.25"/>
  <sheetData>
    <row r="1" spans="1:1" x14ac:dyDescent="0.25">
      <c r="A1" t="s">
        <v>40</v>
      </c>
    </row>
    <row r="2" spans="1:1" x14ac:dyDescent="0.25">
      <c r="A2" t="s">
        <v>57</v>
      </c>
    </row>
    <row r="3" spans="1:1" x14ac:dyDescent="0.25">
      <c r="A3" t="s">
        <v>46</v>
      </c>
    </row>
    <row r="4" spans="1:1" x14ac:dyDescent="0.25">
      <c r="A4" t="s">
        <v>41</v>
      </c>
    </row>
    <row r="5" spans="1:1" x14ac:dyDescent="0.25">
      <c r="A5" t="s">
        <v>34</v>
      </c>
    </row>
    <row r="6" spans="1:1" x14ac:dyDescent="0.25">
      <c r="A6" t="s">
        <v>43</v>
      </c>
    </row>
    <row r="7" spans="1:1" x14ac:dyDescent="0.25">
      <c r="A7" t="s">
        <v>47</v>
      </c>
    </row>
    <row r="8" spans="1:1" x14ac:dyDescent="0.25">
      <c r="A8" t="s">
        <v>45</v>
      </c>
    </row>
    <row r="9" spans="1:1" x14ac:dyDescent="0.25">
      <c r="A9" t="s">
        <v>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2"/>
  <sheetViews>
    <sheetView zoomScaleNormal="100" workbookViewId="0"/>
  </sheetViews>
  <sheetFormatPr baseColWidth="10" defaultColWidth="8.7109375" defaultRowHeight="15" x14ac:dyDescent="0.25"/>
  <cols>
    <col min="1" max="1" width="4" customWidth="1"/>
    <col min="2" max="2" width="24" customWidth="1"/>
    <col min="3" max="3" width="56" customWidth="1"/>
    <col min="4" max="4" width="32" customWidth="1"/>
  </cols>
  <sheetData>
    <row r="1" spans="1:4" ht="9.75" customHeight="1" x14ac:dyDescent="0.25">
      <c r="A1" s="15"/>
      <c r="B1" s="15"/>
      <c r="C1" s="15"/>
      <c r="D1" s="15"/>
    </row>
    <row r="2" spans="1:4" ht="49.5" customHeight="1" x14ac:dyDescent="0.25">
      <c r="A2" s="5" t="s">
        <v>0</v>
      </c>
      <c r="B2" s="4" t="s">
        <v>67</v>
      </c>
      <c r="C2" s="4"/>
      <c r="D2" s="4"/>
    </row>
    <row r="3" spans="1:4" ht="19.5" customHeight="1" x14ac:dyDescent="0.25">
      <c r="A3" s="5"/>
      <c r="B3" s="10" t="s">
        <v>68</v>
      </c>
      <c r="C3" s="10"/>
      <c r="D3" s="10"/>
    </row>
    <row r="4" spans="1:4" ht="18" customHeight="1" x14ac:dyDescent="0.25">
      <c r="A4" s="5"/>
      <c r="B4" s="3" t="s">
        <v>69</v>
      </c>
      <c r="C4" s="3"/>
      <c r="D4" s="3"/>
    </row>
    <row r="5" spans="1:4" ht="4.5" customHeight="1" x14ac:dyDescent="0.25">
      <c r="A5" s="15"/>
      <c r="B5" s="15"/>
      <c r="C5" s="15"/>
      <c r="D5" s="15"/>
    </row>
    <row r="6" spans="1:4" ht="7.5" customHeight="1" x14ac:dyDescent="0.25"/>
    <row r="7" spans="1:4" ht="27.75" customHeight="1" x14ac:dyDescent="0.25">
      <c r="B7" s="26" t="s">
        <v>70</v>
      </c>
      <c r="C7" s="26" t="s">
        <v>71</v>
      </c>
      <c r="D7" s="26" t="s">
        <v>72</v>
      </c>
    </row>
    <row r="8" spans="1:4" ht="42" customHeight="1" x14ac:dyDescent="0.25">
      <c r="B8" s="29" t="s">
        <v>19</v>
      </c>
      <c r="C8" s="24" t="s">
        <v>73</v>
      </c>
      <c r="D8" s="30" t="s">
        <v>74</v>
      </c>
    </row>
    <row r="9" spans="1:4" ht="42" customHeight="1" x14ac:dyDescent="0.25">
      <c r="B9" s="31" t="s">
        <v>20</v>
      </c>
      <c r="C9" s="21" t="s">
        <v>75</v>
      </c>
      <c r="D9" s="32" t="s">
        <v>76</v>
      </c>
    </row>
    <row r="10" spans="1:4" ht="42" customHeight="1" x14ac:dyDescent="0.25">
      <c r="B10" s="29" t="s">
        <v>21</v>
      </c>
      <c r="C10" s="24" t="s">
        <v>77</v>
      </c>
      <c r="D10" s="30" t="s">
        <v>78</v>
      </c>
    </row>
    <row r="11" spans="1:4" ht="42" customHeight="1" x14ac:dyDescent="0.25">
      <c r="B11" s="31" t="s">
        <v>22</v>
      </c>
      <c r="C11" s="21" t="s">
        <v>79</v>
      </c>
      <c r="D11" s="32" t="s">
        <v>80</v>
      </c>
    </row>
    <row r="12" spans="1:4" ht="42" customHeight="1" x14ac:dyDescent="0.25">
      <c r="B12" s="29" t="s">
        <v>81</v>
      </c>
      <c r="C12" s="24" t="s">
        <v>82</v>
      </c>
      <c r="D12" s="30" t="s">
        <v>83</v>
      </c>
    </row>
    <row r="13" spans="1:4" ht="42" customHeight="1" x14ac:dyDescent="0.25">
      <c r="B13" s="31" t="s">
        <v>24</v>
      </c>
      <c r="C13" s="21" t="s">
        <v>84</v>
      </c>
      <c r="D13" s="32" t="s">
        <v>85</v>
      </c>
    </row>
    <row r="14" spans="1:4" ht="42" customHeight="1" x14ac:dyDescent="0.25">
      <c r="B14" s="29" t="s">
        <v>86</v>
      </c>
      <c r="C14" s="24" t="s">
        <v>87</v>
      </c>
      <c r="D14" s="30" t="s">
        <v>88</v>
      </c>
    </row>
    <row r="15" spans="1:4" ht="42" customHeight="1" x14ac:dyDescent="0.25">
      <c r="B15" s="31" t="s">
        <v>28</v>
      </c>
      <c r="C15" s="21" t="s">
        <v>89</v>
      </c>
      <c r="D15" s="32" t="s">
        <v>90</v>
      </c>
    </row>
    <row r="16" spans="1:4" ht="42" customHeight="1" x14ac:dyDescent="0.25">
      <c r="B16" s="29" t="s">
        <v>91</v>
      </c>
      <c r="C16" s="24" t="s">
        <v>92</v>
      </c>
      <c r="D16" s="30" t="s">
        <v>93</v>
      </c>
    </row>
    <row r="17" spans="2:4" ht="42" customHeight="1" x14ac:dyDescent="0.25">
      <c r="B17" s="31" t="s">
        <v>30</v>
      </c>
      <c r="C17" s="21" t="s">
        <v>94</v>
      </c>
      <c r="D17" s="32" t="s">
        <v>95</v>
      </c>
    </row>
    <row r="18" spans="2:4" ht="42" customHeight="1" x14ac:dyDescent="0.25">
      <c r="B18" s="29" t="s">
        <v>31</v>
      </c>
      <c r="C18" s="24" t="s">
        <v>96</v>
      </c>
      <c r="D18" s="30" t="s">
        <v>97</v>
      </c>
    </row>
    <row r="19" spans="2:4" ht="42" customHeight="1" x14ac:dyDescent="0.25">
      <c r="B19" s="31" t="s">
        <v>98</v>
      </c>
      <c r="C19" s="21" t="s">
        <v>99</v>
      </c>
      <c r="D19" s="32" t="s">
        <v>100</v>
      </c>
    </row>
    <row r="20" spans="2:4" ht="42" customHeight="1" x14ac:dyDescent="0.25">
      <c r="B20" s="29" t="s">
        <v>33</v>
      </c>
      <c r="C20" s="24" t="s">
        <v>101</v>
      </c>
      <c r="D20" s="30" t="s">
        <v>78</v>
      </c>
    </row>
    <row r="22" spans="2:4" ht="45.75" customHeight="1" x14ac:dyDescent="0.25">
      <c r="B22" s="2" t="s">
        <v>102</v>
      </c>
      <c r="C22" s="2"/>
      <c r="D22" s="2"/>
    </row>
    <row r="24" spans="2:4" ht="27.75" customHeight="1" x14ac:dyDescent="0.25">
      <c r="B24" s="1" t="s">
        <v>103</v>
      </c>
      <c r="C24" s="1"/>
      <c r="D24" s="1"/>
    </row>
    <row r="25" spans="2:4" ht="21.75" customHeight="1" x14ac:dyDescent="0.25">
      <c r="B25" s="33" t="s">
        <v>104</v>
      </c>
      <c r="C25" s="33"/>
      <c r="D25" s="33"/>
    </row>
    <row r="26" spans="2:4" ht="21.75" customHeight="1" x14ac:dyDescent="0.25">
      <c r="B26" s="34" t="s">
        <v>105</v>
      </c>
      <c r="C26" s="34"/>
      <c r="D26" s="34"/>
    </row>
    <row r="27" spans="2:4" ht="21.75" customHeight="1" x14ac:dyDescent="0.25">
      <c r="B27" s="33" t="s">
        <v>106</v>
      </c>
      <c r="C27" s="33"/>
      <c r="D27" s="33"/>
    </row>
    <row r="28" spans="2:4" ht="21.75" customHeight="1" x14ac:dyDescent="0.25">
      <c r="B28" s="34" t="s">
        <v>107</v>
      </c>
      <c r="C28" s="34"/>
      <c r="D28" s="34"/>
    </row>
    <row r="29" spans="2:4" ht="21.75" customHeight="1" x14ac:dyDescent="0.25">
      <c r="B29" s="33" t="s">
        <v>108</v>
      </c>
      <c r="C29" s="33"/>
      <c r="D29" s="33"/>
    </row>
    <row r="30" spans="2:4" ht="21.75" customHeight="1" x14ac:dyDescent="0.25">
      <c r="B30" s="34" t="s">
        <v>109</v>
      </c>
      <c r="C30" s="34"/>
      <c r="D30" s="34"/>
    </row>
    <row r="31" spans="2:4" ht="21.75" customHeight="1" x14ac:dyDescent="0.25">
      <c r="B31" s="33" t="s">
        <v>110</v>
      </c>
      <c r="C31" s="33"/>
      <c r="D31" s="33"/>
    </row>
    <row r="32" spans="2:4" ht="21.75" customHeight="1" x14ac:dyDescent="0.25">
      <c r="B32" s="35" t="s">
        <v>111</v>
      </c>
      <c r="C32" s="35"/>
      <c r="D32" s="35"/>
    </row>
  </sheetData>
  <mergeCells count="14">
    <mergeCell ref="B29:D29"/>
    <mergeCell ref="B30:D30"/>
    <mergeCell ref="B31:D31"/>
    <mergeCell ref="B32:D32"/>
    <mergeCell ref="B24:D24"/>
    <mergeCell ref="B25:D25"/>
    <mergeCell ref="B26:D26"/>
    <mergeCell ref="B27:D27"/>
    <mergeCell ref="B28:D28"/>
    <mergeCell ref="A2:A4"/>
    <mergeCell ref="B2:D2"/>
    <mergeCell ref="B3:D3"/>
    <mergeCell ref="B4:D4"/>
    <mergeCell ref="B22:D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PLAN DE TRABAJO</vt:lpstr>
      <vt:lpstr>EQUIPO</vt:lpstr>
      <vt:lpstr>INSTRUCTIVO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Juan Diego Maestre</cp:lastModifiedBy>
  <cp:revision>0</cp:revision>
  <dcterms:created xsi:type="dcterms:W3CDTF">2026-04-18T23:40:34Z</dcterms:created>
  <dcterms:modified xsi:type="dcterms:W3CDTF">2026-04-19T02:16:01Z</dcterms:modified>
  <dc:language>en-US</dc:language>
</cp:coreProperties>
</file>