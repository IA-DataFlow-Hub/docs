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jia\Downloads\"/>
    </mc:Choice>
  </mc:AlternateContent>
  <xr:revisionPtr revIDLastSave="0" documentId="13_ncr:1_{2DBBC8AC-9F22-4D8D-9EB1-4B913CCE6F4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LAN DE TRABAJO" sheetId="1" r:id="rId1"/>
    <sheet name="EQUIPO" sheetId="2" state="hidden" r:id="rId2"/>
    <sheet name="INSTRUCTIVO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" i="1" l="1"/>
  <c r="K7" i="1"/>
  <c r="L65" i="1"/>
</calcChain>
</file>

<file path=xl/sharedStrings.xml><?xml version="1.0" encoding="utf-8"?>
<sst xmlns="http://schemas.openxmlformats.org/spreadsheetml/2006/main" count="476" uniqueCount="201">
  <si>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</si>
  <si>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</si>
  <si>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</si>
  <si>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</si>
  <si>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</si>
  <si>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</si>
  <si>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</si>
  <si>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</si>
  <si>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</si>
  <si>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</si>
  <si>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</si>
  <si>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</si>
  <si>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</si>
  <si>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</si>
  <si>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</si>
  <si>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</si>
  <si>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</si>
  <si>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</si>
  <si>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</si>
  <si>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</si>
  <si>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</si>
  <si>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</si>
  <si>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</si>
  <si>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</si>
  <si>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</si>
  <si>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</si>
  <si>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b/>
        <sz val="9"/>
        <color rgb="FFFFFFFF"/>
        <rFont val="Arial"/>
        <family val="2"/>
      </rPr>
      <t xml:space="preserve">META
</t>
    </r>
    <r>
      <rPr>
        <sz val="11"/>
        <color rgb="FF000000"/>
        <rFont val="Calibri"/>
        <family val="2"/>
      </rPr>
      <t>NUMÉRICA</t>
    </r>
  </si>
  <si>
    <t>RESPONSABLE(S)</t>
  </si>
  <si>
    <t>F. INICIO</t>
  </si>
  <si>
    <t>F. FIN</t>
  </si>
  <si>
    <t>F. ENTREGA</t>
  </si>
  <si>
    <t>RIESGO</t>
  </si>
  <si>
    <r>
      <rPr>
        <b/>
        <sz val="9"/>
        <color rgb="FFFFFFFF"/>
        <rFont val="Arial"/>
        <family val="2"/>
      </rPr>
      <t xml:space="preserve">ENTREGABLE
</t>
    </r>
    <r>
      <rPr>
        <sz val="11"/>
        <color rgb="FF000000"/>
        <rFont val="Calibri"/>
        <family val="2"/>
      </rPr>
      <t>VERIF.</t>
    </r>
  </si>
  <si>
    <t>% AVANCE</t>
  </si>
  <si>
    <t>ESTADO</t>
  </si>
  <si>
    <r>
      <rPr>
        <b/>
        <sz val="9"/>
        <color rgb="FFFFFFFF"/>
        <rFont val="Arial"/>
        <family val="2"/>
      </rPr>
      <t xml:space="preserve">APROBADO
</t>
    </r>
    <r>
      <rPr>
        <sz val="11"/>
        <color rgb="FF000000"/>
        <rFont val="Calibri"/>
        <family val="2"/>
      </rPr>
      <t>POR</t>
    </r>
  </si>
  <si>
    <t>OBSERVACIONES</t>
  </si>
  <si>
    <t>Investigacion</t>
  </si>
  <si>
    <t>HU 01: Infraestructura y Viabilidad de Servidores</t>
  </si>
  <si>
    <t>Entregable 1</t>
  </si>
  <si>
    <t>Equipo: Sebastián Bautista Martínez y Andres Felipe Andrade</t>
  </si>
  <si>
    <t>15/03/2026</t>
  </si>
  <si>
    <t>30/03/2026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</si>
  <si>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</si>
  <si>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</si>
  <si>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</si>
  <si>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</si>
  <si>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</si>
  <si>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</si>
  <si>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</si>
  <si>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</si>
  <si>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</si>
  <si>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</si>
  <si>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</si>
  <si>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</si>
  <si>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</si>
  <si>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</si>
  <si>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</si>
  <si>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</si>
  <si>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</si>
  <si>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</si>
  <si>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</t>
  </si>
  <si>
    <t>Andres Felipe Andrade</t>
  </si>
  <si>
    <t>13/04/2026</t>
  </si>
  <si>
    <t>17/04/2026</t>
  </si>
  <si>
    <t>29/04/2026</t>
  </si>
  <si>
    <t>HU 08: Investigación Exploratoria - Estándar TOON y Tokens</t>
  </si>
  <si>
    <t>29/04/2027</t>
  </si>
  <si>
    <t>IA / ML</t>
  </si>
  <si>
    <t>HU 10: Spike Exploratorio - Selección de Modelo y Fine-Tuning</t>
  </si>
  <si>
    <t>Juan Diego Mejía Maestre</t>
  </si>
  <si>
    <t>29/04/2028</t>
  </si>
  <si>
    <t>IA / Agentes</t>
  </si>
  <si>
    <t>HU 09: Spike Exploratorio - Agentes, Skills y Comandos de IA</t>
  </si>
  <si>
    <t>David Ospina</t>
  </si>
  <si>
    <t>29/04/2029</t>
  </si>
  <si>
    <t>Roles / Equipo</t>
  </si>
  <si>
    <t>HU 06: Mapeo de Capacidades y Configuración de Roles</t>
  </si>
  <si>
    <t>29/04/2030</t>
  </si>
  <si>
    <t>HU 00: Mapeo de Capacidades Técnicas y Roles del Equipo</t>
  </si>
  <si>
    <t>29/04/2031</t>
  </si>
  <si>
    <t>HU 02: Mapeo de Capacidades y Configuración de Roles</t>
  </si>
  <si>
    <t>29/04/2032</t>
  </si>
  <si>
    <t>HU 03: Mapeo de Capacidades y Configuración de Roles</t>
  </si>
  <si>
    <t>29/04/2033</t>
  </si>
  <si>
    <t>HU 01: Mapeo de Capacidades y Configuración de Roles</t>
  </si>
  <si>
    <t>Pohlman Cuartas</t>
  </si>
  <si>
    <t>29/04/2034</t>
  </si>
  <si>
    <t>Entregado con tardanza</t>
  </si>
  <si>
    <t>HU 04: Mapeo de Capacidades y Configuración de Roles</t>
  </si>
  <si>
    <t>María Virginia Labarca</t>
  </si>
  <si>
    <t>29/04/2035</t>
  </si>
  <si>
    <t>HU 05: Mapeo de Capacidades y Configuración de Roles</t>
  </si>
  <si>
    <t>Sebastián Bautista Martínez</t>
  </si>
  <si>
    <t>29/04/2036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</si>
  <si>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</si>
  <si>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</si>
  <si>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</si>
  <si>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</si>
  <si>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</si>
  <si>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</si>
  <si>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</si>
  <si>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</si>
  <si>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</si>
  <si>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</si>
  <si>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</si>
  <si>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</si>
  <si>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</si>
  <si>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</si>
  <si>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</si>
  <si>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</si>
  <si>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</si>
  <si>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</si>
  <si>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</si>
  <si>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sz val="9"/>
        <color rgb="FF1A1A1A"/>
        <rFont val="Arial"/>
        <family val="2"/>
      </rPr>
      <t xml:space="preserve">Escriba libremente los nombres de los integrantes a cargo.
</t>
    </r>
    <r>
      <rPr>
        <sz val="11"/>
        <color theme="1"/>
        <rFont val="Calibri"/>
        <family val="2"/>
        <scheme val="minor"/>
      </rPr>
      <t>Pa</t>
    </r>
    <r>
      <rPr>
        <sz val="11"/>
        <color theme="1"/>
        <rFont val="Calibri"/>
        <family val="2"/>
        <scheme val="minor"/>
      </rPr>
      <t>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</si>
  <si>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</si>
  <si>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</si>
  <si>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</si>
  <si>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</si>
  <si>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</si>
  <si>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</si>
  <si>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</si>
  <si>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</si>
  <si>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</si>
  <si>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sz val="9"/>
        <color rgb="FF1A1A1A"/>
        <rFont val="Arial"/>
        <family val="2"/>
      </rPr>
      <t xml:space="preserve">Avance como decimal entre 0 y 1. La barra verde crece automáticamente.
</t>
    </r>
    <r>
      <rPr>
        <sz val="11"/>
        <color rgb="FF000000"/>
        <rFont val="Calibri"/>
        <family val="2"/>
      </rPr>
      <t>Ejemplo: escriba 0.75 para representar el 75%.</t>
    </r>
  </si>
  <si>
    <t>Decimal de 0 a 1</t>
  </si>
  <si>
    <r>
      <rPr>
        <sz val="9"/>
        <color rgb="FF1A1A1A"/>
        <rFont val="Arial"/>
        <family val="2"/>
      </rPr>
      <t xml:space="preserve">Estado actual de la actividad. Menú desplegable.
</t>
    </r>
    <r>
      <rPr>
        <sz val="11"/>
        <color rgb="FF000000"/>
        <rFont val="Calibri"/>
        <family val="2"/>
      </rPr>
      <t>El color se asigna automáticamente.</t>
    </r>
  </si>
  <si>
    <r>
      <rPr>
        <i/>
        <sz val="9"/>
        <color rgb="FF666666"/>
        <rFont val="Arial"/>
        <family val="2"/>
      </rPr>
      <t xml:space="preserve">✅ Completado · ⏳ En proceso
</t>
    </r>
    <r>
      <rPr>
        <sz val="11"/>
        <color rgb="FF000000"/>
        <rFont val="Calibri"/>
        <family val="2"/>
      </rPr>
      <t>📅 Pendiente · 🔴 Crític</t>
    </r>
    <r>
      <rPr>
        <sz val="11"/>
        <color theme="1"/>
        <rFont val="Calibri"/>
        <family val="2"/>
        <scheme val="minor"/>
      </rPr>
      <t>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</si>
  <si>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</si>
  <si>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</si>
  <si>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</si>
  <si>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</si>
  <si>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</si>
  <si>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</si>
  <si>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• Juan Diego Mejía Maestre</t>
  </si>
  <si>
    <t>• David Ospina</t>
  </si>
  <si>
    <t>• Andres Felipe Andrade</t>
  </si>
  <si>
    <t>• Oscar Antury Avila</t>
  </si>
  <si>
    <t>• Sebastián Bautista Martínez</t>
  </si>
  <si>
    <t>• Pohlman Cuartas</t>
  </si>
  <si>
    <t>• María Virginia Labarca</t>
  </si>
  <si>
    <t>🎓  Raúl Bareño Gutiérrez  (Líder / Docente)</t>
  </si>
  <si>
    <t>HU 11: Diseño y Creación de la Base de Datos Relacional (MySQL)</t>
  </si>
  <si>
    <t>HU 13: Configuración de Infraestructura de Datos (Docker)</t>
  </si>
  <si>
    <t>HU 14: Arquitectura Base y Monorepo</t>
  </si>
  <si>
    <t>media</t>
  </si>
  <si>
    <t>queda pendiente para revisar por Juan Diego para revisar si esta completa</t>
  </si>
  <si>
    <t>Equipo: Sebastián Bautista Martínez, María Virginia Labarca, Andres Felipe Andrade</t>
  </si>
  <si>
    <t>HU 15: Clasificación de Dataset de Caos para Entrenamiento de IA</t>
  </si>
  <si>
    <t>Equipo: Pohlman Cuartas y  Oscar Antury Avila</t>
  </si>
  <si>
    <t>El Equipo no entrego la tarea, y se reasigna a Juan Diego para completar esta HU</t>
  </si>
  <si>
    <t>base de datos</t>
  </si>
  <si>
    <t>infraestructura</t>
  </si>
  <si>
    <t>datasets</t>
  </si>
  <si>
    <t>Entregable 3</t>
  </si>
  <si>
    <t>16/5/2026</t>
  </si>
  <si>
    <t>Base de Datos</t>
  </si>
  <si>
    <t>HU-016: Reemplazar ENUMs con Tablas de Catálogo</t>
  </si>
  <si>
    <t>13/05/2026</t>
  </si>
  <si>
    <t>19/05/2026</t>
  </si>
  <si>
    <t>HU-017: Implementar Auditoría y Eliminación Lógica</t>
  </si>
  <si>
    <t>HU-025: Sistema de Notificaciones Individuales y Grupales</t>
  </si>
  <si>
    <t>Entregable 4</t>
  </si>
  <si>
    <t>18/05/2026</t>
  </si>
  <si>
    <t>25/05/2026</t>
  </si>
  <si>
    <t>HU-026: Gestión de Datasets, Tablas y Lineage</t>
  </si>
  <si>
    <t>HU-027: Gestión de Templates ETL y Transf. Predefinidas</t>
  </si>
  <si>
    <t>HU-028: Feed de Actividad y Timeline de Eventos</t>
  </si>
  <si>
    <t>HU-029: Sistema de Reportes y Dashboards Persistentes</t>
  </si>
  <si>
    <t>HU-030: Migración Estratégica de IDs Enteros a UUID/GUID</t>
  </si>
  <si>
    <t>Infraestructura</t>
  </si>
  <si>
    <t>HU-035: Diagramas Clave del Proyecto</t>
  </si>
  <si>
    <t>Equipo: Juan Diego Mejía y David Ospina</t>
  </si>
  <si>
    <t>16/05/2026</t>
  </si>
  <si>
    <t>IA / Herramientas</t>
  </si>
  <si>
    <t>HU-033: Configuración del Entorno de IA (Ollama + LM Studio + Gemini)</t>
  </si>
  <si>
    <t>Por asignar</t>
  </si>
  <si>
    <t>-</t>
  </si>
  <si>
    <t>Medio</t>
  </si>
  <si>
    <t>📋 Backlog</t>
  </si>
  <si>
    <t>Preparación de entorno local</t>
  </si>
  <si>
    <t>Automatización</t>
  </si>
  <si>
    <t>HU-034: Flujos Base en n8n</t>
  </si>
  <si>
    <t>15/06/2026</t>
  </si>
  <si>
    <t>Orquestación de flujos</t>
  </si>
  <si>
    <t>Backend</t>
  </si>
  <si>
    <t>HU-036: Estructura Base del API (NestJS)</t>
  </si>
  <si>
    <t>22/06/2026</t>
  </si>
  <si>
    <t>Definición de arquitectura</t>
  </si>
  <si>
    <t>Frontend</t>
  </si>
  <si>
    <t>HU-037: Capa de Servicios del Frontend (Integración con API)</t>
  </si>
  <si>
    <t>29/06/2026</t>
  </si>
  <si>
    <t>Consumo de endpoints</t>
  </si>
  <si>
    <t>IA / Training</t>
  </si>
  <si>
    <t>HU-038: Fine-Tuning y Preparación de Datasets de IA</t>
  </si>
  <si>
    <t>Alto</t>
  </si>
  <si>
    <t>Refinamiento de datos</t>
  </si>
  <si>
    <t>IA / Modelos</t>
  </si>
  <si>
    <t>HU-039: Entrenamiento y Fine-Tuning de Modelos de IA</t>
  </si>
  <si>
    <t>13/07/2026</t>
  </si>
  <si>
    <t>Fase final de modelos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</si>
</sst>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</numFmts>
  <fonts count="21" x14ac:knownFonts="1">
    <font>
      <sz val="11"/>
      <color theme="1"/>
      <name val="Calibri"/>
      <family val="2"/>
      <scheme val="minor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i/>
      <sz val="9"/>
      <color rgb="FF666666"/>
      <name val="Arial"/>
      <family val="2"/>
    </font>
    <font>
      <b/>
      <sz val="10"/>
      <color rgb="FFFFFFFF"/>
      <name val="Arial"/>
      <family val="2"/>
    </font>
    <font>
      <b/>
      <sz val="9"/>
      <color rgb="FF5A8500"/>
      <name val="Arial"/>
      <family val="2"/>
    </font>
    <font>
      <u/>
      <sz val="11"/>
      <color rgb="FF0563C1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0"/>
      <name val="Arial"/>
      <family val="2"/>
    </font>
    <font>
      <u/>
      <sz val="11"/>
      <color theme="11"/>
      <name val="Calibri"/>
      <family val="2"/>
      <scheme val="minor"/>
    </font>
    <font>
      <u/>
      <sz val="9"/>
      <color rgb="FF1A1A1A"/>
      <name val="Arial"/>
      <family val="2"/>
    </font>
    <font>
      <sz val="9"/>
      <color theme="1"/>
      <name val="Arial"/>
      <family val="2"/>
    </font>
    <font>
      <sz val="10"/>
      <color rgb="FF434343"/>
      <name val="Roboto"/>
    </font>
    <font>
      <sz val="10"/>
      <color rgb="FF2C481F"/>
      <name val="Roboto"/>
    </font>
    <font>
      <sz val="10"/>
      <color theme="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8DC6E"/>
      </left>
      <right style="thin">
        <color rgb="FFB8DC6E"/>
      </right>
      <top/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/>
      <bottom style="medium">
        <color rgb="FF80BC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0">
    <xf numFmtId="0" fontId="0" fillId="0" borderId="0"/>
    <xf numFmtId="0" fontId="11" fillId="0" borderId="0" applyNumberFormat="0" applyFill="0" applyBorder="0" applyAlignment="0" applyProtection="0"/>
    <xf numFmtId="9" fontId="10" fillId="0" borderId="0" applyFont="0" applyFill="0" applyBorder="0" applyAlignment="0" applyProtection="0"/>
    <xf numFmtId="42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" fillId="16" borderId="13" xfId="0" applyFont="1" applyFill="1" applyBorder="1" applyAlignment="1"/>
    <xf numFmtId="0" fontId="5" fillId="8" borderId="7" xfId="0" applyFont="1" applyFill="1" applyBorder="1" applyAlignment="1">
      <alignment horizontal="left" vertical="center" wrapText="1"/>
    </xf>
    <xf numFmtId="0" fontId="5" fillId="8" borderId="7" xfId="0" applyFont="1" applyFill="1" applyBorder="1" applyAlignment="1">
      <alignment horizontal="left" vertical="center" wrapText="1"/>
    </xf>
    <xf numFmtId="0" fontId="1" fillId="14" borderId="11" xfId="0" applyFont="1" applyFill="1" applyBorder="1" applyAlignment="1">
      <alignment horizontal="left" vertical="center" wrapText="1"/>
    </xf>
    <xf numFmtId="0" fontId="15" fillId="0" borderId="0" applyNumberFormat="0" applyFill="0" applyBorder="0" applyAlignment="0" applyProtection="0"/>
    <xf numFmtId="0" fontId="1" fillId="4" borderId="3" xfId="3" applyNumberFormat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left" vertical="center" wrapText="1"/>
    </xf>
    <xf numFmtId="0" fontId="2" fillId="3" borderId="2" xfId="2" applyNumberFormat="1" applyFont="1" applyFill="1" applyBorder="1" applyAlignment="1">
      <alignment horizontal="center" vertical="center"/>
    </xf>
    <xf numFmtId="0" fontId="4" fillId="6" borderId="5" xfId="5" applyNumberFormat="1" applyFont="1" applyFill="1" applyBorder="1" applyAlignment="1">
      <alignment horizontal="center" vertical="center"/>
    </xf>
    <xf numFmtId="0" fontId="14" fillId="18" borderId="3" xfId="3" applyNumberFormat="1" applyFont="1" applyFill="1" applyBorder="1" applyAlignment="1">
      <alignment horizontal="center" vertical="center" wrapText="1"/>
    </xf>
    <xf numFmtId="0" fontId="8" fillId="10" borderId="8" xfId="10" applyFont="1" applyFill="1" applyBorder="1" applyAlignment="1">
      <alignment horizontal="left" vertical="center"/>
    </xf>
    <xf numFmtId="0" fontId="7" fillId="11" borderId="0" xfId="0" applyFont="1" applyFill="1"/>
    <xf numFmtId="0" fontId="9" fillId="13" borderId="10" xfId="0" applyFont="1" applyFill="1" applyBorder="1" applyAlignment="1">
      <alignment horizontal="center" vertical="center" wrapText="1"/>
    </xf>
    <xf numFmtId="0" fontId="13" fillId="0" borderId="0" applyNumberFormat="0" applyFill="0" applyBorder="0" applyAlignment="0" applyProtection="0"/>
  </cellStyleXfs>
  <cellXfs count="62">
    <xf numFmtId="0" fontId="0" fillId="0" borderId="0" xfId="0"/>
    <xf numFmtId="0" fontId="7" fillId="9" borderId="0" xfId="9" applyFont="1" applyFill="1" applyBorder="1" applyAlignment="1"/>
    <xf numFmtId="0" fontId="3" fillId="5" borderId="4" xfId="4" applyNumberFormat="1" applyFont="1" applyFill="1" applyBorder="1" applyAlignment="1">
      <alignment horizontal="left" vertical="center" wrapText="1"/>
    </xf>
    <xf numFmtId="0" fontId="5" fillId="7" borderId="6" xfId="6" applyFont="1" applyFill="1" applyBorder="1" applyAlignment="1">
      <alignment horizontal="left" vertical="center" wrapText="1"/>
    </xf>
    <xf numFmtId="0" fontId="3" fillId="15" borderId="12" xfId="15" applyFont="1" applyFill="1" applyBorder="1" applyAlignment="1">
      <alignment horizontal="left" vertical="center" wrapText="1"/>
    </xf>
    <xf numFmtId="0" fontId="5" fillId="8" borderId="7" xfId="8" applyFont="1" applyFill="1" applyBorder="1" applyAlignment="1">
      <alignment horizontal="left" vertical="center" wrapText="1"/>
    </xf>
    <xf numFmtId="0" fontId="8" fillId="12" borderId="9" xfId="12" applyFont="1" applyFill="1" applyBorder="1" applyAlignment="1">
      <alignment horizontal="left" vertical="center"/>
    </xf>
    <xf numFmtId="0" fontId="7" fillId="0" borderId="0" xfId="18" applyFont="1" applyFill="1" applyBorder="1" applyAlignment="1"/>
    <xf numFmtId="0" fontId="8" fillId="10" borderId="8" xfId="10" applyFont="1" applyFill="1" applyBorder="1" applyAlignment="1">
      <alignment horizontal="left" vertical="center"/>
    </xf>
    <xf numFmtId="0" fontId="1" fillId="17" borderId="14" xfId="17" applyFont="1" applyFill="1" applyBorder="1" applyAlignment="1">
      <alignment horizontal="center" vertical="center" wrapText="1"/>
    </xf>
    <xf numFmtId="0" fontId="7" fillId="11" borderId="0" xfId="11" applyFont="1" applyFill="1" applyBorder="1" applyAlignment="1"/>
    <xf numFmtId="0" fontId="1" fillId="14" borderId="11" xfId="14" applyFont="1" applyFill="1" applyBorder="1" applyAlignment="1">
      <alignment horizontal="left" vertical="center" wrapText="1"/>
    </xf>
    <xf numFmtId="0" fontId="1" fillId="4" borderId="3" xfId="3" applyNumberFormat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left" vertical="center" wrapText="1"/>
    </xf>
    <xf numFmtId="0" fontId="4" fillId="6" borderId="5" xfId="5" applyNumberFormat="1" applyFont="1" applyFill="1" applyBorder="1" applyAlignment="1">
      <alignment horizontal="center" vertical="center"/>
    </xf>
    <xf numFmtId="0" fontId="12" fillId="18" borderId="0" xfId="0" applyFont="1" applyFill="1"/>
    <xf numFmtId="0" fontId="8" fillId="12" borderId="9" xfId="12" applyFont="1" applyFill="1" applyBorder="1" applyAlignment="1">
      <alignment horizontal="left" vertical="center"/>
    </xf>
    <xf numFmtId="0" fontId="3" fillId="15" borderId="12" xfId="15" applyFont="1" applyFill="1" applyBorder="1" applyAlignment="1">
      <alignment horizontal="left" vertical="center" wrapText="1"/>
    </xf>
    <xf numFmtId="0" fontId="7" fillId="0" borderId="0" xfId="18" applyFont="1" applyFill="1" applyBorder="1" applyAlignment="1"/>
    <xf numFmtId="0" fontId="9" fillId="13" borderId="16" xfId="0" applyFont="1" applyFill="1" applyBorder="1" applyAlignment="1">
      <alignment horizontal="center" vertical="center" wrapText="1"/>
    </xf>
    <xf numFmtId="0" fontId="2" fillId="3" borderId="17" xfId="2" applyNumberFormat="1" applyFont="1" applyFill="1" applyBorder="1" applyAlignment="1">
      <alignment horizontal="center" vertical="center"/>
    </xf>
    <xf numFmtId="0" fontId="7" fillId="16" borderId="17" xfId="16" applyFont="1" applyFill="1" applyBorder="1" applyAlignment="1"/>
    <xf numFmtId="0" fontId="1" fillId="17" borderId="15" xfId="17" applyFont="1" applyFill="1" applyBorder="1" applyAlignment="1">
      <alignment horizontal="center" vertical="center" wrapText="1"/>
    </xf>
    <xf numFmtId="0" fontId="1" fillId="14" borderId="15" xfId="14" applyFont="1" applyFill="1" applyBorder="1" applyAlignment="1">
      <alignment horizontal="left" vertical="center" wrapText="1"/>
    </xf>
    <xf numFmtId="0" fontId="0" fillId="0" borderId="15" xfId="0" applyBorder="1"/>
    <xf numFmtId="0" fontId="10" fillId="0" borderId="0" xfId="0" applyFont="1" applyFill="1"/>
    <xf numFmtId="0" fontId="0" fillId="0" borderId="18" xfId="0" applyBorder="1"/>
    <xf numFmtId="0" fontId="20" fillId="0" borderId="19" xfId="0" applyFont="1" applyBorder="1" applyAlignment="1">
      <alignment wrapText="1"/>
    </xf>
    <xf numFmtId="0" fontId="1" fillId="4" borderId="20" xfId="3" applyNumberFormat="1" applyFont="1" applyFill="1" applyBorder="1" applyAlignment="1">
      <alignment horizontal="center" vertical="center" wrapText="1"/>
    </xf>
    <xf numFmtId="0" fontId="1" fillId="14" borderId="21" xfId="14" applyFont="1" applyFill="1" applyBorder="1" applyAlignment="1">
      <alignment horizontal="left" vertical="center" wrapText="1"/>
    </xf>
    <xf numFmtId="0" fontId="1" fillId="17" borderId="21" xfId="17" applyFont="1" applyFill="1" applyBorder="1" applyAlignment="1">
      <alignment horizontal="center" vertical="center" wrapText="1"/>
    </xf>
    <xf numFmtId="0" fontId="9" fillId="13" borderId="15" xfId="13" applyFont="1" applyFill="1" applyBorder="1" applyAlignment="1">
      <alignment horizontal="center" vertical="center" wrapText="1"/>
    </xf>
    <xf numFmtId="0" fontId="1" fillId="0" borderId="15" xfId="14" applyFont="1" applyFill="1" applyBorder="1" applyAlignment="1">
      <alignment horizontal="left" vertical="center" wrapText="1"/>
    </xf>
    <xf numFmtId="0" fontId="6" fillId="0" borderId="15" xfId="7" applyFont="1" applyFill="1" applyBorder="1" applyAlignment="1">
      <alignment horizontal="left" vertical="center" wrapText="1"/>
    </xf>
    <xf numFmtId="0" fontId="1" fillId="0" borderId="15" xfId="17" applyFont="1" applyFill="1" applyBorder="1" applyAlignment="1">
      <alignment horizontal="center" vertical="center" wrapText="1"/>
    </xf>
    <xf numFmtId="14" fontId="0" fillId="0" borderId="15" xfId="0" applyNumberFormat="1" applyBorder="1" applyAlignment="1">
      <alignment horizontal="center" vertical="center"/>
    </xf>
    <xf numFmtId="0" fontId="1" fillId="4" borderId="15" xfId="3" applyNumberFormat="1" applyFont="1" applyFill="1" applyBorder="1" applyAlignment="1">
      <alignment horizontal="center" vertical="center" wrapText="1"/>
    </xf>
    <xf numFmtId="0" fontId="1" fillId="0" borderId="15" xfId="1" applyFont="1" applyFill="1" applyBorder="1" applyAlignment="1">
      <alignment horizontal="left" vertical="center" wrapText="1"/>
    </xf>
    <xf numFmtId="0" fontId="1" fillId="0" borderId="15" xfId="3" applyNumberFormat="1" applyFont="1" applyFill="1" applyBorder="1" applyAlignment="1">
      <alignment horizontal="center" vertical="center" wrapText="1"/>
    </xf>
    <xf numFmtId="0" fontId="13" fillId="0" borderId="15" xfId="19" applyBorder="1"/>
    <xf numFmtId="0" fontId="16" fillId="0" borderId="15" xfId="17" applyFont="1" applyFill="1" applyBorder="1" applyAlignment="1">
      <alignment horizontal="center" vertical="center" wrapText="1"/>
    </xf>
    <xf numFmtId="0" fontId="14" fillId="18" borderId="15" xfId="1" applyFont="1" applyFill="1" applyBorder="1" applyAlignment="1">
      <alignment horizontal="left" vertical="center" wrapText="1"/>
    </xf>
    <xf numFmtId="0" fontId="14" fillId="18" borderId="15" xfId="17" applyFont="1" applyFill="1" applyBorder="1" applyAlignment="1">
      <alignment horizontal="center" vertical="center" wrapText="1"/>
    </xf>
    <xf numFmtId="14" fontId="12" fillId="18" borderId="15" xfId="0" applyNumberFormat="1" applyFont="1" applyFill="1" applyBorder="1" applyAlignment="1">
      <alignment horizontal="center" vertical="center"/>
    </xf>
    <xf numFmtId="0" fontId="14" fillId="18" borderId="15" xfId="3" applyNumberFormat="1" applyFont="1" applyFill="1" applyBorder="1" applyAlignment="1">
      <alignment horizontal="center" vertical="center" wrapText="1"/>
    </xf>
    <xf numFmtId="0" fontId="17" fillId="0" borderId="15" xfId="17" applyFont="1" applyFill="1" applyBorder="1" applyAlignment="1">
      <alignment horizontal="center" vertical="center" wrapText="1"/>
    </xf>
    <xf numFmtId="0" fontId="17" fillId="0" borderId="15" xfId="1" applyFont="1" applyFill="1" applyBorder="1" applyAlignment="1">
      <alignment horizontal="left" vertical="center" wrapText="1"/>
    </xf>
    <xf numFmtId="0" fontId="19" fillId="19" borderId="15" xfId="0" applyFont="1" applyFill="1" applyBorder="1" applyAlignment="1">
      <alignment vertical="center" wrapText="1"/>
    </xf>
    <xf numFmtId="14" fontId="10" fillId="0" borderId="15" xfId="0" applyNumberFormat="1" applyFont="1" applyFill="1" applyBorder="1" applyAlignment="1">
      <alignment horizontal="center" vertical="center"/>
    </xf>
    <xf numFmtId="0" fontId="17" fillId="0" borderId="15" xfId="3" applyNumberFormat="1" applyFont="1" applyFill="1" applyBorder="1" applyAlignment="1">
      <alignment horizontal="center" vertical="center" wrapText="1"/>
    </xf>
    <xf numFmtId="0" fontId="18" fillId="19" borderId="15" xfId="0" applyFont="1" applyFill="1" applyBorder="1" applyAlignment="1">
      <alignment vertical="center" wrapText="1"/>
    </xf>
    <xf numFmtId="0" fontId="19" fillId="17" borderId="15" xfId="0" applyFont="1" applyFill="1" applyBorder="1" applyAlignment="1">
      <alignment vertical="center" wrapText="1"/>
    </xf>
    <xf numFmtId="0" fontId="18" fillId="19" borderId="15" xfId="0" applyFont="1" applyFill="1" applyBorder="1" applyAlignment="1">
      <alignment horizontal="right" vertical="center" wrapText="1"/>
    </xf>
    <xf numFmtId="0" fontId="18" fillId="17" borderId="15" xfId="0" applyFont="1" applyFill="1" applyBorder="1" applyAlignment="1">
      <alignment vertical="center" wrapText="1"/>
    </xf>
    <xf numFmtId="0" fontId="18" fillId="17" borderId="15" xfId="0" applyFont="1" applyFill="1" applyBorder="1" applyAlignment="1">
      <alignment horizontal="right" vertical="center" wrapText="1"/>
    </xf>
    <xf numFmtId="14" fontId="18" fillId="19" borderId="15" xfId="0" applyNumberFormat="1" applyFont="1" applyFill="1" applyBorder="1" applyAlignment="1">
      <alignment horizontal="right" vertical="center" wrapText="1"/>
    </xf>
    <xf numFmtId="14" fontId="18" fillId="17" borderId="15" xfId="0" applyNumberFormat="1" applyFont="1" applyFill="1" applyBorder="1" applyAlignment="1">
      <alignment horizontal="right" vertical="center" wrapText="1"/>
    </xf>
    <xf numFmtId="0" fontId="20" fillId="0" borderId="15" xfId="0" applyFont="1" applyBorder="1" applyAlignment="1">
      <alignment wrapText="1"/>
    </xf>
    <xf numFmtId="0" fontId="20" fillId="0" borderId="15" xfId="0" applyFont="1" applyBorder="1" applyAlignment="1">
      <alignment horizontal="right" wrapText="1"/>
    </xf>
    <xf numFmtId="14" fontId="20" fillId="0" borderId="15" xfId="0" applyNumberFormat="1" applyFont="1" applyBorder="1" applyAlignment="1">
      <alignment horizontal="right" wrapText="1"/>
    </xf>
    <xf numFmtId="0" fontId="20" fillId="0" borderId="15" xfId="0" applyFont="1" applyBorder="1" applyAlignment="1">
      <alignment vertical="center"/>
    </xf>
    <xf numFmtId="0" fontId="1" fillId="20" borderId="15" xfId="17" applyFont="1" applyFill="1" applyBorder="1" applyAlignment="1">
      <alignment horizontal="center" vertical="center" wrapText="1"/>
    </xf>
  </cellXfs>
  <cellStyles count="8">
    <cellStyle name="Hipervínculo" xfId="19" builtinId="8"/>
    <cellStyle name="Hipervínculo visitado" xfId="10" builtinId="9"/>
    <cellStyle name="Millares" xfId="5" builtinId="3"/>
    <cellStyle name="Millares [0]" xfId="4" builtinId="6"/>
    <cellStyle name="Moneda [0]" xfId="3" builtinId="7"/>
    <cellStyle name="Normal" xfId="0" builtinId="0"/>
    <cellStyle name="Porcentaje" xfId="2" builtinId="5"/>
    <cellStyle name="Título" xfId="1" builtinId="1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IA-DataFlow-Hub/docs/tree/main/Requisitos%20para%20aprobar%20el%20semillero/6%20-%20Entregas%20Parciales/Entregable%203" TargetMode="External"/><Relationship Id="rId2" Type="http://schemas.openxmlformats.org/officeDocument/2006/relationships/hyperlink" Target="https://github.com/IA-DataFlow-Hub/docs/tree/main/Requisitos%20para%20aprobar%20el%20semillero/6%20-%20Entregas%20Parciales/Entregable%203" TargetMode="External"/><Relationship Id="rId1" Type="http://schemas.openxmlformats.org/officeDocument/2006/relationships/hyperlink" Target="https://github.com/IA-DataFlow-Hub/docs/tree/main/Requisitos%20para%20aprobar%20el%20semillero/6%20-%20Entregas%20Parciales/Entregable%203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65"/>
  <sheetViews>
    <sheetView tabSelected="1" topLeftCell="D1" workbookViewId="0">
      <pane ySplit="9" topLeftCell="A10" activePane="bottomLeft" state="frozen"/>
      <selection pane="bottomLeft" sqref="A1:O53"/>
    </sheetView>
  </sheetViews>
  <sheetFormatPr baseColWidth="10" defaultColWidth="8.7109375" defaultRowHeight="15" customHeight="1" x14ac:dyDescent="0.25"/>
  <cols>
    <col min="1" max="1" width="10.42578125" customWidth="1"/>
    <col min="2" max="2" width="17.140625" bestFit="1" customWidth="1"/>
    <col min="3" max="3" width="62" bestFit="1" customWidth="1"/>
    <col min="4" max="4" width="32.140625" customWidth="1"/>
    <col min="5" max="5" width="11.28515625" customWidth="1"/>
    <col min="6" max="6" width="67.7109375" bestFit="1" customWidth="1"/>
    <col min="7" max="7" width="14.28515625" customWidth="1"/>
    <col min="8" max="9" width="10.7109375" customWidth="1"/>
    <col min="10" max="10" width="17.5703125" customWidth="1"/>
    <col min="11" max="11" width="10.7109375" customWidth="1"/>
    <col min="12" max="12" width="10.140625" customWidth="1"/>
    <col min="13" max="13" width="14.7109375" customWidth="1"/>
    <col min="14" max="14" width="18.42578125" customWidth="1"/>
    <col min="15" max="15" width="66.5703125" bestFit="1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5" customHeight="1" x14ac:dyDescent="0.25">
      <c r="A2" s="15" t="s">
        <v>0</v>
      </c>
      <c r="B2" s="14" t="s">
        <v>1</v>
      </c>
      <c r="C2" s="14"/>
      <c r="D2" s="14"/>
      <c r="E2" s="14"/>
      <c r="F2" s="14"/>
      <c r="G2" s="14"/>
      <c r="H2" s="14"/>
      <c r="I2" s="14"/>
      <c r="J2" s="14"/>
      <c r="K2" s="13" t="s">
        <v>2</v>
      </c>
      <c r="L2" s="13"/>
      <c r="M2" s="13"/>
      <c r="N2" s="13"/>
      <c r="O2" s="13"/>
    </row>
    <row r="3" spans="1:15" ht="15" customHeight="1" x14ac:dyDescent="0.25">
      <c r="A3" s="15"/>
      <c r="B3" s="15"/>
      <c r="C3" s="14"/>
      <c r="D3" s="14"/>
      <c r="E3" s="14"/>
      <c r="F3" s="14"/>
      <c r="G3" s="14"/>
      <c r="H3" s="14"/>
      <c r="I3" s="14"/>
      <c r="J3" s="14"/>
      <c r="K3" s="12" t="s">
        <v>3</v>
      </c>
      <c r="L3" s="12"/>
      <c r="M3" s="12"/>
      <c r="N3" s="12"/>
      <c r="O3" s="12"/>
    </row>
    <row r="4" spans="1:15" ht="15" customHeight="1" x14ac:dyDescent="0.25">
      <c r="A4" s="15"/>
      <c r="B4" s="11" t="s">
        <v>4</v>
      </c>
      <c r="C4" s="11"/>
      <c r="D4" s="11"/>
      <c r="E4" s="11"/>
      <c r="F4" s="11"/>
      <c r="G4" s="11"/>
      <c r="H4" s="11"/>
      <c r="I4" s="11"/>
      <c r="J4" s="11"/>
      <c r="K4" s="9" t="s">
        <v>5</v>
      </c>
      <c r="L4" s="9"/>
      <c r="M4" s="9"/>
      <c r="N4" s="9"/>
      <c r="O4" s="9"/>
    </row>
    <row r="5" spans="1:15" ht="15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5" customHeight="1" x14ac:dyDescent="0.25">
      <c r="A6" s="6" t="s">
        <v>6</v>
      </c>
      <c r="B6" s="17" t="s">
        <v>7</v>
      </c>
      <c r="C6" s="17"/>
      <c r="D6" s="17"/>
      <c r="F6" s="6" t="s">
        <v>8</v>
      </c>
      <c r="G6" s="17" t="s">
        <v>9</v>
      </c>
      <c r="H6" s="17"/>
      <c r="I6" s="17"/>
      <c r="J6" s="6" t="s">
        <v>10</v>
      </c>
      <c r="K6" s="17" t="s">
        <v>11</v>
      </c>
      <c r="L6" s="17"/>
      <c r="M6" s="6" t="s">
        <v>12</v>
      </c>
      <c r="N6" s="17" t="s">
        <v>13</v>
      </c>
      <c r="O6" s="17"/>
    </row>
    <row r="7" spans="1:15" ht="15" customHeight="1" x14ac:dyDescent="0.25">
      <c r="A7" s="8" t="s">
        <v>14</v>
      </c>
      <c r="B7" s="16" t="s">
        <v>15</v>
      </c>
      <c r="C7" s="16"/>
      <c r="D7" s="8" t="s">
        <v>16</v>
      </c>
      <c r="E7" s="16" t="s">
        <v>17</v>
      </c>
      <c r="F7" s="16"/>
      <c r="G7" s="8" t="s">
        <v>18</v>
      </c>
      <c r="H7" s="16" t="s">
        <v>19</v>
      </c>
      <c r="I7" s="16"/>
      <c r="J7" s="8" t="s">
        <v>20</v>
      </c>
      <c r="K7" s="16">
        <f>COUNTA(A10:A32)</f>
        <v>23</v>
      </c>
      <c r="L7" s="16"/>
      <c r="M7" s="8" t="s">
        <v>21</v>
      </c>
      <c r="N7" s="16">
        <f>COUNTIF(M10:M32,"✅ Completado")</f>
        <v>22</v>
      </c>
      <c r="O7" s="16"/>
    </row>
    <row r="8" spans="1:15" ht="15" customHeight="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</row>
    <row r="9" spans="1:15" ht="39" customHeight="1" x14ac:dyDescent="0.25">
      <c r="A9" s="31" t="s">
        <v>22</v>
      </c>
      <c r="B9" s="31" t="s">
        <v>23</v>
      </c>
      <c r="C9" s="31" t="s">
        <v>24</v>
      </c>
      <c r="D9" s="31" t="s">
        <v>25</v>
      </c>
      <c r="E9" s="31" t="s">
        <v>26</v>
      </c>
      <c r="F9" s="31" t="s">
        <v>27</v>
      </c>
      <c r="G9" s="31" t="s">
        <v>28</v>
      </c>
      <c r="H9" s="31" t="s">
        <v>29</v>
      </c>
      <c r="I9" s="31" t="s">
        <v>30</v>
      </c>
      <c r="J9" s="31" t="s">
        <v>31</v>
      </c>
      <c r="K9" s="31" t="s">
        <v>32</v>
      </c>
      <c r="L9" s="31" t="s">
        <v>33</v>
      </c>
      <c r="M9" s="31" t="s">
        <v>34</v>
      </c>
      <c r="N9" s="31" t="s">
        <v>35</v>
      </c>
      <c r="O9" s="31" t="s">
        <v>36</v>
      </c>
    </row>
    <row r="10" spans="1:15" ht="15" customHeight="1" x14ac:dyDescent="0.25">
      <c r="A10" s="22">
        <v>1</v>
      </c>
      <c r="B10" s="32" t="s">
        <v>37</v>
      </c>
      <c r="C10" s="32" t="s">
        <v>38</v>
      </c>
      <c r="D10" s="33" t="s">
        <v>39</v>
      </c>
      <c r="E10" s="34">
        <v>3</v>
      </c>
      <c r="F10" s="32" t="s">
        <v>40</v>
      </c>
      <c r="G10" s="35" t="s">
        <v>41</v>
      </c>
      <c r="H10" s="35" t="s">
        <v>42</v>
      </c>
      <c r="I10" s="35" t="s">
        <v>19</v>
      </c>
      <c r="J10" s="34" t="s">
        <v>43</v>
      </c>
      <c r="K10" s="34" t="s">
        <v>44</v>
      </c>
      <c r="L10" s="34">
        <v>1</v>
      </c>
      <c r="M10" s="34" t="s">
        <v>45</v>
      </c>
      <c r="N10" s="34" t="s">
        <v>46</v>
      </c>
      <c r="O10" s="32" t="s">
        <v>47</v>
      </c>
    </row>
    <row r="11" spans="1:15" ht="15" customHeight="1" x14ac:dyDescent="0.25">
      <c r="A11" s="36">
        <v>2</v>
      </c>
      <c r="B11" s="32" t="s">
        <v>37</v>
      </c>
      <c r="C11" s="37" t="s">
        <v>48</v>
      </c>
      <c r="D11" s="33" t="s">
        <v>39</v>
      </c>
      <c r="E11" s="34">
        <v>3</v>
      </c>
      <c r="F11" s="37" t="s">
        <v>49</v>
      </c>
      <c r="G11" s="35" t="s">
        <v>41</v>
      </c>
      <c r="H11" s="35" t="s">
        <v>42</v>
      </c>
      <c r="I11" s="35" t="s">
        <v>19</v>
      </c>
      <c r="J11" s="38" t="s">
        <v>43</v>
      </c>
      <c r="K11" s="34" t="s">
        <v>44</v>
      </c>
      <c r="L11" s="34">
        <v>1</v>
      </c>
      <c r="M11" s="34" t="s">
        <v>45</v>
      </c>
      <c r="N11" s="34" t="s">
        <v>46</v>
      </c>
      <c r="O11" s="32" t="s">
        <v>47</v>
      </c>
    </row>
    <row r="12" spans="1:15" ht="15" customHeight="1" x14ac:dyDescent="0.25">
      <c r="A12" s="22">
        <v>3</v>
      </c>
      <c r="B12" s="32" t="s">
        <v>37</v>
      </c>
      <c r="C12" s="32" t="s">
        <v>50</v>
      </c>
      <c r="D12" s="33" t="s">
        <v>39</v>
      </c>
      <c r="E12" s="34">
        <v>3</v>
      </c>
      <c r="F12" s="32" t="s">
        <v>51</v>
      </c>
      <c r="G12" s="35" t="s">
        <v>41</v>
      </c>
      <c r="H12" s="35" t="s">
        <v>42</v>
      </c>
      <c r="I12" s="35" t="s">
        <v>19</v>
      </c>
      <c r="J12" s="34" t="s">
        <v>43</v>
      </c>
      <c r="K12" s="34" t="s">
        <v>44</v>
      </c>
      <c r="L12" s="34">
        <v>1</v>
      </c>
      <c r="M12" s="34" t="s">
        <v>45</v>
      </c>
      <c r="N12" s="34" t="s">
        <v>46</v>
      </c>
      <c r="O12" s="32" t="s">
        <v>47</v>
      </c>
    </row>
    <row r="13" spans="1:15" ht="15" customHeight="1" x14ac:dyDescent="0.25">
      <c r="A13" s="36">
        <v>4</v>
      </c>
      <c r="B13" s="32" t="s">
        <v>37</v>
      </c>
      <c r="C13" s="37" t="s">
        <v>52</v>
      </c>
      <c r="D13" s="33" t="s">
        <v>39</v>
      </c>
      <c r="E13" s="34">
        <v>3</v>
      </c>
      <c r="F13" s="37" t="s">
        <v>53</v>
      </c>
      <c r="G13" s="35" t="s">
        <v>41</v>
      </c>
      <c r="H13" s="35" t="s">
        <v>42</v>
      </c>
      <c r="I13" s="35" t="s">
        <v>19</v>
      </c>
      <c r="J13" s="34" t="s">
        <v>43</v>
      </c>
      <c r="K13" s="34" t="s">
        <v>44</v>
      </c>
      <c r="L13" s="34">
        <v>1</v>
      </c>
      <c r="M13" s="34" t="s">
        <v>45</v>
      </c>
      <c r="N13" s="34" t="s">
        <v>46</v>
      </c>
      <c r="O13" s="32" t="s">
        <v>47</v>
      </c>
    </row>
    <row r="14" spans="1:15" ht="15" customHeight="1" x14ac:dyDescent="0.25">
      <c r="A14" s="22">
        <v>5</v>
      </c>
      <c r="B14" s="32" t="s">
        <v>37</v>
      </c>
      <c r="C14" s="32" t="s">
        <v>54</v>
      </c>
      <c r="D14" s="33" t="s">
        <v>39</v>
      </c>
      <c r="E14" s="34">
        <v>3</v>
      </c>
      <c r="F14" s="32" t="s">
        <v>55</v>
      </c>
      <c r="G14" s="35" t="s">
        <v>41</v>
      </c>
      <c r="H14" s="35" t="s">
        <v>42</v>
      </c>
      <c r="I14" s="35" t="s">
        <v>19</v>
      </c>
      <c r="J14" s="38" t="s">
        <v>43</v>
      </c>
      <c r="K14" s="34" t="s">
        <v>44</v>
      </c>
      <c r="L14" s="34">
        <v>1</v>
      </c>
      <c r="M14" s="34" t="s">
        <v>45</v>
      </c>
      <c r="N14" s="34" t="s">
        <v>46</v>
      </c>
      <c r="O14" s="32" t="s">
        <v>47</v>
      </c>
    </row>
    <row r="15" spans="1:15" ht="15" customHeight="1" x14ac:dyDescent="0.25">
      <c r="A15" s="36">
        <v>6</v>
      </c>
      <c r="B15" s="32" t="s">
        <v>37</v>
      </c>
      <c r="C15" s="37" t="s">
        <v>56</v>
      </c>
      <c r="D15" s="33" t="s">
        <v>39</v>
      </c>
      <c r="E15" s="34">
        <v>3</v>
      </c>
      <c r="F15" s="37" t="s">
        <v>57</v>
      </c>
      <c r="G15" s="35" t="s">
        <v>41</v>
      </c>
      <c r="H15" s="35" t="s">
        <v>42</v>
      </c>
      <c r="I15" s="35" t="s">
        <v>19</v>
      </c>
      <c r="J15" s="34" t="s">
        <v>43</v>
      </c>
      <c r="K15" s="34" t="s">
        <v>44</v>
      </c>
      <c r="L15" s="34">
        <v>1</v>
      </c>
      <c r="M15" s="34" t="s">
        <v>45</v>
      </c>
      <c r="N15" s="34" t="s">
        <v>46</v>
      </c>
      <c r="O15" s="32" t="s">
        <v>47</v>
      </c>
    </row>
    <row r="16" spans="1:15" ht="15" customHeight="1" x14ac:dyDescent="0.25">
      <c r="A16" s="22">
        <v>7</v>
      </c>
      <c r="B16" s="32" t="s">
        <v>37</v>
      </c>
      <c r="C16" s="32" t="s">
        <v>58</v>
      </c>
      <c r="D16" s="33" t="s">
        <v>39</v>
      </c>
      <c r="E16" s="34">
        <v>3</v>
      </c>
      <c r="F16" s="32" t="s">
        <v>46</v>
      </c>
      <c r="G16" s="35" t="s">
        <v>41</v>
      </c>
      <c r="H16" s="35" t="s">
        <v>42</v>
      </c>
      <c r="I16" s="35" t="s">
        <v>19</v>
      </c>
      <c r="J16" s="34" t="s">
        <v>43</v>
      </c>
      <c r="K16" s="34" t="s">
        <v>44</v>
      </c>
      <c r="L16" s="34">
        <v>1</v>
      </c>
      <c r="M16" s="34" t="s">
        <v>45</v>
      </c>
      <c r="N16" s="34" t="s">
        <v>46</v>
      </c>
      <c r="O16" s="32" t="s">
        <v>47</v>
      </c>
    </row>
    <row r="17" spans="1:15" ht="15" customHeight="1" x14ac:dyDescent="0.25">
      <c r="A17" s="36">
        <v>10</v>
      </c>
      <c r="B17" s="37" t="s">
        <v>59</v>
      </c>
      <c r="C17" s="37" t="s">
        <v>60</v>
      </c>
      <c r="D17" s="33" t="s">
        <v>61</v>
      </c>
      <c r="E17" s="34">
        <v>3</v>
      </c>
      <c r="F17" s="37" t="s">
        <v>62</v>
      </c>
      <c r="G17" s="35" t="s">
        <v>63</v>
      </c>
      <c r="H17" s="35" t="s">
        <v>64</v>
      </c>
      <c r="I17" s="35" t="s">
        <v>65</v>
      </c>
      <c r="J17" s="34" t="s">
        <v>43</v>
      </c>
      <c r="K17" s="34" t="s">
        <v>44</v>
      </c>
      <c r="L17" s="34">
        <v>1</v>
      </c>
      <c r="M17" s="34" t="s">
        <v>45</v>
      </c>
      <c r="N17" s="34" t="s">
        <v>46</v>
      </c>
      <c r="O17" s="32" t="s">
        <v>47</v>
      </c>
    </row>
    <row r="18" spans="1:15" ht="15" customHeight="1" x14ac:dyDescent="0.25">
      <c r="A18" s="22">
        <v>11</v>
      </c>
      <c r="B18" s="32" t="s">
        <v>59</v>
      </c>
      <c r="C18" s="32" t="s">
        <v>66</v>
      </c>
      <c r="D18" s="33" t="s">
        <v>61</v>
      </c>
      <c r="E18" s="34">
        <v>3</v>
      </c>
      <c r="F18" s="32" t="s">
        <v>62</v>
      </c>
      <c r="G18" s="35" t="s">
        <v>63</v>
      </c>
      <c r="H18" s="35" t="s">
        <v>64</v>
      </c>
      <c r="I18" s="35" t="s">
        <v>67</v>
      </c>
      <c r="J18" s="38" t="s">
        <v>43</v>
      </c>
      <c r="K18" s="34" t="s">
        <v>44</v>
      </c>
      <c r="L18" s="34">
        <v>1</v>
      </c>
      <c r="M18" s="34" t="s">
        <v>45</v>
      </c>
      <c r="N18" s="34" t="s">
        <v>46</v>
      </c>
      <c r="O18" s="32" t="s">
        <v>47</v>
      </c>
    </row>
    <row r="19" spans="1:15" ht="15" customHeight="1" x14ac:dyDescent="0.25">
      <c r="A19" s="36">
        <v>12</v>
      </c>
      <c r="B19" s="37" t="s">
        <v>68</v>
      </c>
      <c r="C19" s="37" t="s">
        <v>69</v>
      </c>
      <c r="D19" s="33" t="s">
        <v>61</v>
      </c>
      <c r="E19" s="34">
        <v>3</v>
      </c>
      <c r="F19" s="37" t="s">
        <v>70</v>
      </c>
      <c r="G19" s="35" t="s">
        <v>63</v>
      </c>
      <c r="H19" s="35" t="s">
        <v>64</v>
      </c>
      <c r="I19" s="35" t="s">
        <v>71</v>
      </c>
      <c r="J19" s="34" t="s">
        <v>43</v>
      </c>
      <c r="K19" s="34" t="s">
        <v>44</v>
      </c>
      <c r="L19" s="34">
        <v>1</v>
      </c>
      <c r="M19" s="34" t="s">
        <v>45</v>
      </c>
      <c r="N19" s="34" t="s">
        <v>46</v>
      </c>
      <c r="O19" s="32" t="s">
        <v>47</v>
      </c>
    </row>
    <row r="20" spans="1:15" ht="15" customHeight="1" x14ac:dyDescent="0.25">
      <c r="A20" s="22">
        <v>13</v>
      </c>
      <c r="B20" s="32" t="s">
        <v>72</v>
      </c>
      <c r="C20" s="32" t="s">
        <v>73</v>
      </c>
      <c r="D20" s="33" t="s">
        <v>61</v>
      </c>
      <c r="E20" s="34">
        <v>3</v>
      </c>
      <c r="F20" s="32" t="s">
        <v>74</v>
      </c>
      <c r="G20" s="35" t="s">
        <v>63</v>
      </c>
      <c r="H20" s="35" t="s">
        <v>64</v>
      </c>
      <c r="I20" s="35" t="s">
        <v>75</v>
      </c>
      <c r="J20" s="34" t="s">
        <v>43</v>
      </c>
      <c r="K20" s="34" t="s">
        <v>44</v>
      </c>
      <c r="L20" s="34">
        <v>1</v>
      </c>
      <c r="M20" s="34" t="s">
        <v>45</v>
      </c>
      <c r="N20" s="34" t="s">
        <v>46</v>
      </c>
      <c r="O20" s="32" t="s">
        <v>47</v>
      </c>
    </row>
    <row r="21" spans="1:15" ht="15" customHeight="1" x14ac:dyDescent="0.25">
      <c r="A21" s="36">
        <v>14</v>
      </c>
      <c r="B21" s="37" t="s">
        <v>76</v>
      </c>
      <c r="C21" s="37" t="s">
        <v>77</v>
      </c>
      <c r="D21" s="33" t="s">
        <v>61</v>
      </c>
      <c r="E21" s="34">
        <v>3</v>
      </c>
      <c r="F21" s="37" t="s">
        <v>70</v>
      </c>
      <c r="G21" s="35" t="s">
        <v>63</v>
      </c>
      <c r="H21" s="35" t="s">
        <v>64</v>
      </c>
      <c r="I21" s="35" t="s">
        <v>78</v>
      </c>
      <c r="J21" s="38" t="s">
        <v>43</v>
      </c>
      <c r="K21" s="34" t="s">
        <v>44</v>
      </c>
      <c r="L21" s="34">
        <v>1</v>
      </c>
      <c r="M21" s="38" t="s">
        <v>45</v>
      </c>
      <c r="N21" s="34" t="s">
        <v>46</v>
      </c>
      <c r="O21" s="32" t="s">
        <v>47</v>
      </c>
    </row>
    <row r="22" spans="1:15" ht="15" customHeight="1" x14ac:dyDescent="0.25">
      <c r="A22" s="22">
        <v>15</v>
      </c>
      <c r="B22" s="32" t="s">
        <v>76</v>
      </c>
      <c r="C22" s="32" t="s">
        <v>79</v>
      </c>
      <c r="D22" s="33" t="s">
        <v>61</v>
      </c>
      <c r="E22" s="34">
        <v>3</v>
      </c>
      <c r="F22" s="32" t="s">
        <v>70</v>
      </c>
      <c r="G22" s="35" t="s">
        <v>63</v>
      </c>
      <c r="H22" s="35" t="s">
        <v>64</v>
      </c>
      <c r="I22" s="35" t="s">
        <v>80</v>
      </c>
      <c r="J22" s="34" t="s">
        <v>43</v>
      </c>
      <c r="K22" s="34" t="s">
        <v>44</v>
      </c>
      <c r="L22" s="34">
        <v>1</v>
      </c>
      <c r="M22" s="34" t="s">
        <v>45</v>
      </c>
      <c r="N22" s="34" t="s">
        <v>46</v>
      </c>
      <c r="O22" s="32" t="s">
        <v>47</v>
      </c>
    </row>
    <row r="23" spans="1:15" ht="15" customHeight="1" x14ac:dyDescent="0.25">
      <c r="A23" s="36">
        <v>16</v>
      </c>
      <c r="B23" s="37" t="s">
        <v>76</v>
      </c>
      <c r="C23" s="37" t="s">
        <v>81</v>
      </c>
      <c r="D23" s="33" t="s">
        <v>61</v>
      </c>
      <c r="E23" s="34">
        <v>3</v>
      </c>
      <c r="F23" s="37" t="s">
        <v>62</v>
      </c>
      <c r="G23" s="35" t="s">
        <v>63</v>
      </c>
      <c r="H23" s="35" t="s">
        <v>64</v>
      </c>
      <c r="I23" s="35" t="s">
        <v>82</v>
      </c>
      <c r="J23" s="34" t="s">
        <v>43</v>
      </c>
      <c r="K23" s="34" t="s">
        <v>44</v>
      </c>
      <c r="L23" s="34">
        <v>1</v>
      </c>
      <c r="M23" s="38" t="s">
        <v>45</v>
      </c>
      <c r="N23" s="34" t="s">
        <v>46</v>
      </c>
      <c r="O23" s="32" t="s">
        <v>47</v>
      </c>
    </row>
    <row r="24" spans="1:15" ht="15" customHeight="1" x14ac:dyDescent="0.25">
      <c r="A24" s="22">
        <v>17</v>
      </c>
      <c r="B24" s="32" t="s">
        <v>76</v>
      </c>
      <c r="C24" s="32" t="s">
        <v>83</v>
      </c>
      <c r="D24" s="33" t="s">
        <v>61</v>
      </c>
      <c r="E24" s="34">
        <v>3</v>
      </c>
      <c r="F24" s="32" t="s">
        <v>74</v>
      </c>
      <c r="G24" s="35" t="s">
        <v>63</v>
      </c>
      <c r="H24" s="35" t="s">
        <v>64</v>
      </c>
      <c r="I24" s="35" t="s">
        <v>84</v>
      </c>
      <c r="J24" s="38" t="s">
        <v>43</v>
      </c>
      <c r="K24" s="34" t="s">
        <v>44</v>
      </c>
      <c r="L24" s="34">
        <v>1</v>
      </c>
      <c r="M24" s="34" t="s">
        <v>45</v>
      </c>
      <c r="N24" s="34" t="s">
        <v>46</v>
      </c>
      <c r="O24" s="32" t="s">
        <v>47</v>
      </c>
    </row>
    <row r="25" spans="1:15" ht="15" customHeight="1" x14ac:dyDescent="0.25">
      <c r="A25" s="36">
        <v>18</v>
      </c>
      <c r="B25" s="37" t="s">
        <v>76</v>
      </c>
      <c r="C25" s="37" t="s">
        <v>85</v>
      </c>
      <c r="D25" s="33" t="s">
        <v>61</v>
      </c>
      <c r="E25" s="34">
        <v>3</v>
      </c>
      <c r="F25" s="37" t="s">
        <v>86</v>
      </c>
      <c r="G25" s="35" t="s">
        <v>63</v>
      </c>
      <c r="H25" s="35" t="s">
        <v>64</v>
      </c>
      <c r="I25" s="35" t="s">
        <v>87</v>
      </c>
      <c r="J25" s="34" t="s">
        <v>43</v>
      </c>
      <c r="K25" s="34" t="s">
        <v>44</v>
      </c>
      <c r="L25" s="34">
        <v>1</v>
      </c>
      <c r="M25" s="38" t="s">
        <v>45</v>
      </c>
      <c r="N25" s="34" t="s">
        <v>46</v>
      </c>
      <c r="O25" s="32" t="s">
        <v>88</v>
      </c>
    </row>
    <row r="26" spans="1:15" ht="15" customHeight="1" x14ac:dyDescent="0.25">
      <c r="A26" s="22">
        <v>19</v>
      </c>
      <c r="B26" s="32" t="s">
        <v>76</v>
      </c>
      <c r="C26" s="32" t="s">
        <v>89</v>
      </c>
      <c r="D26" s="33" t="s">
        <v>61</v>
      </c>
      <c r="E26" s="34">
        <v>3</v>
      </c>
      <c r="F26" s="32" t="s">
        <v>90</v>
      </c>
      <c r="G26" s="35" t="s">
        <v>63</v>
      </c>
      <c r="H26" s="35" t="s">
        <v>64</v>
      </c>
      <c r="I26" s="35" t="s">
        <v>91</v>
      </c>
      <c r="J26" s="34" t="s">
        <v>43</v>
      </c>
      <c r="K26" s="34" t="s">
        <v>44</v>
      </c>
      <c r="L26" s="34">
        <v>1</v>
      </c>
      <c r="M26" s="34" t="s">
        <v>45</v>
      </c>
      <c r="N26" s="34" t="s">
        <v>46</v>
      </c>
      <c r="O26" s="32" t="s">
        <v>47</v>
      </c>
    </row>
    <row r="27" spans="1:15" ht="15" customHeight="1" x14ac:dyDescent="0.25">
      <c r="A27" s="36">
        <v>20</v>
      </c>
      <c r="B27" s="37" t="s">
        <v>76</v>
      </c>
      <c r="C27" s="37" t="s">
        <v>92</v>
      </c>
      <c r="D27" s="33" t="s">
        <v>61</v>
      </c>
      <c r="E27" s="34">
        <v>3</v>
      </c>
      <c r="F27" s="37" t="s">
        <v>93</v>
      </c>
      <c r="G27" s="35" t="s">
        <v>63</v>
      </c>
      <c r="H27" s="35" t="s">
        <v>64</v>
      </c>
      <c r="I27" s="35" t="s">
        <v>94</v>
      </c>
      <c r="J27" s="38" t="s">
        <v>43</v>
      </c>
      <c r="K27" s="34" t="s">
        <v>44</v>
      </c>
      <c r="L27" s="38">
        <v>1</v>
      </c>
      <c r="M27" s="38" t="s">
        <v>45</v>
      </c>
      <c r="N27" s="34" t="s">
        <v>46</v>
      </c>
      <c r="O27" s="32" t="s">
        <v>47</v>
      </c>
    </row>
    <row r="28" spans="1:15" ht="15" customHeight="1" x14ac:dyDescent="0.25">
      <c r="A28" s="36">
        <v>21</v>
      </c>
      <c r="B28" s="32" t="s">
        <v>151</v>
      </c>
      <c r="C28" s="32" t="s">
        <v>142</v>
      </c>
      <c r="D28" s="39" t="s">
        <v>154</v>
      </c>
      <c r="E28" s="34">
        <v>3</v>
      </c>
      <c r="F28" s="32" t="s">
        <v>147</v>
      </c>
      <c r="G28" s="35">
        <v>46086</v>
      </c>
      <c r="H28" s="35">
        <v>46270</v>
      </c>
      <c r="I28" s="35">
        <v>46271</v>
      </c>
      <c r="J28" s="34" t="s">
        <v>145</v>
      </c>
      <c r="K28" s="34" t="s">
        <v>44</v>
      </c>
      <c r="L28" s="34">
        <v>1</v>
      </c>
      <c r="M28" s="38" t="s">
        <v>45</v>
      </c>
      <c r="N28" s="34" t="s">
        <v>46</v>
      </c>
      <c r="O28" s="32" t="s">
        <v>146</v>
      </c>
    </row>
    <row r="29" spans="1:15" ht="15" customHeight="1" x14ac:dyDescent="0.25">
      <c r="A29" s="22">
        <v>22</v>
      </c>
      <c r="B29" s="37" t="s">
        <v>152</v>
      </c>
      <c r="C29" s="37" t="s">
        <v>143</v>
      </c>
      <c r="D29" s="39" t="s">
        <v>154</v>
      </c>
      <c r="E29" s="34">
        <v>3</v>
      </c>
      <c r="F29" s="32" t="s">
        <v>57</v>
      </c>
      <c r="G29" s="35">
        <v>46086</v>
      </c>
      <c r="H29" s="35">
        <v>46270</v>
      </c>
      <c r="I29" s="35">
        <v>46271</v>
      </c>
      <c r="J29" s="34" t="s">
        <v>145</v>
      </c>
      <c r="K29" s="40" t="s">
        <v>44</v>
      </c>
      <c r="L29" s="34">
        <v>1</v>
      </c>
      <c r="M29" s="38" t="s">
        <v>45</v>
      </c>
      <c r="N29" s="34" t="s">
        <v>46</v>
      </c>
      <c r="O29" s="32" t="s">
        <v>47</v>
      </c>
    </row>
    <row r="30" spans="1:15" ht="15" customHeight="1" x14ac:dyDescent="0.25">
      <c r="A30" s="36">
        <v>23</v>
      </c>
      <c r="B30" s="37" t="s">
        <v>152</v>
      </c>
      <c r="C30" s="32" t="s">
        <v>144</v>
      </c>
      <c r="D30" s="39" t="s">
        <v>154</v>
      </c>
      <c r="E30" s="34">
        <v>3</v>
      </c>
      <c r="F30" s="32" t="s">
        <v>57</v>
      </c>
      <c r="G30" s="35">
        <v>46086</v>
      </c>
      <c r="H30" s="35">
        <v>46270</v>
      </c>
      <c r="I30" s="35">
        <v>46271</v>
      </c>
      <c r="J30" s="34" t="s">
        <v>145</v>
      </c>
      <c r="K30" s="34" t="s">
        <v>44</v>
      </c>
      <c r="L30" s="38">
        <v>1</v>
      </c>
      <c r="M30" s="38" t="s">
        <v>45</v>
      </c>
      <c r="N30" s="34" t="s">
        <v>46</v>
      </c>
      <c r="O30" s="32" t="s">
        <v>47</v>
      </c>
    </row>
    <row r="31" spans="1:15" s="15" customFormat="1" ht="15" customHeight="1" x14ac:dyDescent="0.25">
      <c r="A31" s="61">
        <v>24</v>
      </c>
      <c r="B31" s="41" t="s">
        <v>153</v>
      </c>
      <c r="C31" s="41" t="s">
        <v>148</v>
      </c>
      <c r="D31" s="41"/>
      <c r="E31" s="42">
        <v>3</v>
      </c>
      <c r="F31" s="41" t="s">
        <v>149</v>
      </c>
      <c r="G31" s="43">
        <v>46086</v>
      </c>
      <c r="H31" s="43">
        <v>46270</v>
      </c>
      <c r="I31" s="43"/>
      <c r="J31" s="42" t="s">
        <v>145</v>
      </c>
      <c r="K31" s="42" t="s">
        <v>44</v>
      </c>
      <c r="L31" s="42">
        <v>1</v>
      </c>
      <c r="M31" s="44" t="s">
        <v>45</v>
      </c>
      <c r="N31" s="42" t="s">
        <v>46</v>
      </c>
      <c r="O31" s="41" t="s">
        <v>150</v>
      </c>
    </row>
    <row r="32" spans="1:15" s="25" customFormat="1" ht="15" customHeight="1" x14ac:dyDescent="0.25">
      <c r="A32" s="45">
        <v>25</v>
      </c>
      <c r="B32" s="46" t="s">
        <v>153</v>
      </c>
      <c r="C32" s="46" t="s">
        <v>148</v>
      </c>
      <c r="D32" s="47" t="s">
        <v>162</v>
      </c>
      <c r="E32" s="45">
        <v>3</v>
      </c>
      <c r="F32" s="46" t="s">
        <v>57</v>
      </c>
      <c r="G32" s="48">
        <v>46270</v>
      </c>
      <c r="H32" s="48" t="s">
        <v>155</v>
      </c>
      <c r="I32" s="48"/>
      <c r="J32" s="45" t="s">
        <v>145</v>
      </c>
      <c r="K32" s="45" t="s">
        <v>44</v>
      </c>
      <c r="L32" s="45">
        <v>1</v>
      </c>
      <c r="M32" s="49"/>
      <c r="N32" s="45"/>
      <c r="O32" s="46"/>
    </row>
    <row r="33" spans="1:16" s="24" customFormat="1" ht="15" customHeight="1" x14ac:dyDescent="0.25">
      <c r="A33" s="22">
        <v>26</v>
      </c>
      <c r="B33" s="50" t="s">
        <v>156</v>
      </c>
      <c r="C33" s="50" t="s">
        <v>157</v>
      </c>
      <c r="D33" s="51" t="s">
        <v>162</v>
      </c>
      <c r="E33" s="52">
        <v>3</v>
      </c>
      <c r="F33" s="32" t="s">
        <v>147</v>
      </c>
      <c r="G33" s="52" t="s">
        <v>158</v>
      </c>
      <c r="H33" s="52" t="s">
        <v>159</v>
      </c>
      <c r="I33" s="48"/>
      <c r="J33" s="45"/>
      <c r="K33" s="45"/>
      <c r="L33" s="45"/>
      <c r="M33" s="22"/>
      <c r="N33" s="22"/>
      <c r="O33" s="23"/>
      <c r="P33" s="26"/>
    </row>
    <row r="34" spans="1:16" s="24" customFormat="1" ht="15" customHeight="1" x14ac:dyDescent="0.25">
      <c r="A34" s="36">
        <v>27</v>
      </c>
      <c r="B34" s="50" t="s">
        <v>156</v>
      </c>
      <c r="C34" s="53" t="s">
        <v>160</v>
      </c>
      <c r="D34" s="47" t="s">
        <v>162</v>
      </c>
      <c r="E34" s="54">
        <v>3</v>
      </c>
      <c r="F34" s="32" t="s">
        <v>147</v>
      </c>
      <c r="G34" s="54" t="s">
        <v>158</v>
      </c>
      <c r="H34" s="54" t="s">
        <v>159</v>
      </c>
      <c r="I34" s="22"/>
      <c r="J34" s="22"/>
      <c r="K34" s="22"/>
      <c r="L34" s="22"/>
      <c r="M34" s="22"/>
      <c r="N34" s="22"/>
      <c r="O34" s="23"/>
      <c r="P34" s="26"/>
    </row>
    <row r="35" spans="1:16" s="24" customFormat="1" ht="15" customHeight="1" x14ac:dyDescent="0.25">
      <c r="A35" s="22">
        <v>28</v>
      </c>
      <c r="B35" s="50" t="s">
        <v>156</v>
      </c>
      <c r="C35" s="50" t="s">
        <v>161</v>
      </c>
      <c r="D35" s="47" t="s">
        <v>162</v>
      </c>
      <c r="E35" s="52">
        <v>3</v>
      </c>
      <c r="F35" s="32" t="s">
        <v>147</v>
      </c>
      <c r="G35" s="52" t="s">
        <v>163</v>
      </c>
      <c r="H35" s="52" t="s">
        <v>164</v>
      </c>
      <c r="I35" s="22"/>
      <c r="J35" s="22"/>
      <c r="K35" s="22"/>
      <c r="L35" s="22"/>
      <c r="M35" s="22"/>
      <c r="N35" s="22"/>
      <c r="O35" s="23"/>
      <c r="P35" s="26"/>
    </row>
    <row r="36" spans="1:16" s="24" customFormat="1" ht="15" customHeight="1" x14ac:dyDescent="0.25">
      <c r="A36" s="36">
        <v>29</v>
      </c>
      <c r="B36" s="50" t="s">
        <v>156</v>
      </c>
      <c r="C36" s="53" t="s">
        <v>165</v>
      </c>
      <c r="D36" s="51" t="s">
        <v>162</v>
      </c>
      <c r="E36" s="54">
        <v>3</v>
      </c>
      <c r="F36" s="32" t="s">
        <v>147</v>
      </c>
      <c r="G36" s="54" t="s">
        <v>163</v>
      </c>
      <c r="H36" s="54" t="s">
        <v>164</v>
      </c>
      <c r="I36" s="22"/>
      <c r="J36" s="22"/>
      <c r="K36" s="22"/>
      <c r="L36" s="22"/>
      <c r="M36" s="22"/>
      <c r="N36" s="22"/>
      <c r="O36" s="23"/>
      <c r="P36" s="26"/>
    </row>
    <row r="37" spans="1:16" s="24" customFormat="1" ht="15" customHeight="1" x14ac:dyDescent="0.25">
      <c r="A37" s="36">
        <v>30</v>
      </c>
      <c r="B37" s="50" t="s">
        <v>156</v>
      </c>
      <c r="C37" s="50" t="s">
        <v>166</v>
      </c>
      <c r="D37" s="47" t="s">
        <v>162</v>
      </c>
      <c r="E37" s="52">
        <v>3</v>
      </c>
      <c r="F37" s="32" t="s">
        <v>147</v>
      </c>
      <c r="G37" s="52" t="s">
        <v>164</v>
      </c>
      <c r="H37" s="55">
        <v>46028</v>
      </c>
      <c r="I37" s="22"/>
      <c r="J37" s="22"/>
      <c r="K37" s="22"/>
      <c r="L37" s="22"/>
      <c r="M37" s="22"/>
      <c r="N37" s="22"/>
      <c r="O37" s="23"/>
      <c r="P37" s="26"/>
    </row>
    <row r="38" spans="1:16" s="24" customFormat="1" ht="15" customHeight="1" x14ac:dyDescent="0.25">
      <c r="A38" s="22">
        <v>31</v>
      </c>
      <c r="B38" s="50" t="s">
        <v>156</v>
      </c>
      <c r="C38" s="53" t="s">
        <v>167</v>
      </c>
      <c r="D38" s="51" t="s">
        <v>162</v>
      </c>
      <c r="E38" s="54">
        <v>3</v>
      </c>
      <c r="F38" s="32" t="s">
        <v>147</v>
      </c>
      <c r="G38" s="54" t="s">
        <v>164</v>
      </c>
      <c r="H38" s="56">
        <v>46028</v>
      </c>
      <c r="I38" s="22"/>
      <c r="J38" s="22"/>
      <c r="K38" s="22"/>
      <c r="L38" s="22"/>
      <c r="M38" s="22"/>
      <c r="N38" s="22"/>
      <c r="O38" s="23"/>
      <c r="P38" s="26"/>
    </row>
    <row r="39" spans="1:16" s="24" customFormat="1" ht="15" customHeight="1" x14ac:dyDescent="0.25">
      <c r="A39" s="36">
        <v>32</v>
      </c>
      <c r="B39" s="50" t="s">
        <v>156</v>
      </c>
      <c r="C39" s="50" t="s">
        <v>168</v>
      </c>
      <c r="D39" s="47" t="s">
        <v>162</v>
      </c>
      <c r="E39" s="52">
        <v>3</v>
      </c>
      <c r="F39" s="32" t="s">
        <v>147</v>
      </c>
      <c r="G39" s="55">
        <v>46028</v>
      </c>
      <c r="H39" s="55">
        <v>46240</v>
      </c>
      <c r="I39" s="22"/>
      <c r="J39" s="22"/>
      <c r="K39" s="22"/>
      <c r="L39" s="22"/>
      <c r="M39" s="22"/>
      <c r="N39" s="22"/>
      <c r="O39" s="23"/>
      <c r="P39" s="26"/>
    </row>
    <row r="40" spans="1:16" s="24" customFormat="1" ht="15" customHeight="1" x14ac:dyDescent="0.25">
      <c r="A40" s="22">
        <v>33</v>
      </c>
      <c r="B40" s="50" t="s">
        <v>156</v>
      </c>
      <c r="C40" s="53" t="s">
        <v>169</v>
      </c>
      <c r="D40" s="51" t="s">
        <v>162</v>
      </c>
      <c r="E40" s="54">
        <v>3</v>
      </c>
      <c r="F40" s="32" t="s">
        <v>147</v>
      </c>
      <c r="G40" s="56">
        <v>46028</v>
      </c>
      <c r="H40" s="56">
        <v>46240</v>
      </c>
      <c r="I40" s="22"/>
      <c r="J40" s="22"/>
      <c r="K40" s="22"/>
      <c r="L40" s="22"/>
      <c r="M40" s="22"/>
      <c r="N40" s="22"/>
      <c r="O40" s="23"/>
      <c r="P40" s="26"/>
    </row>
    <row r="41" spans="1:16" s="24" customFormat="1" ht="15" customHeight="1" thickBot="1" x14ac:dyDescent="0.3">
      <c r="A41" s="36">
        <v>34</v>
      </c>
      <c r="B41" s="50" t="s">
        <v>170</v>
      </c>
      <c r="C41" s="50" t="s">
        <v>171</v>
      </c>
      <c r="D41" s="47" t="s">
        <v>162</v>
      </c>
      <c r="E41" s="52">
        <v>3</v>
      </c>
      <c r="F41" s="50" t="s">
        <v>172</v>
      </c>
      <c r="G41" s="55">
        <v>46270</v>
      </c>
      <c r="H41" s="52" t="s">
        <v>173</v>
      </c>
      <c r="I41" s="22"/>
      <c r="J41" s="22"/>
      <c r="K41" s="22"/>
      <c r="L41" s="22"/>
      <c r="M41" s="22"/>
      <c r="N41" s="22"/>
      <c r="O41" s="23"/>
      <c r="P41" s="26"/>
    </row>
    <row r="42" spans="1:16" s="24" customFormat="1" ht="15" customHeight="1" thickBot="1" x14ac:dyDescent="0.3">
      <c r="A42" s="22">
        <v>35</v>
      </c>
      <c r="B42" s="57" t="s">
        <v>174</v>
      </c>
      <c r="C42" s="57" t="s">
        <v>175</v>
      </c>
      <c r="D42" s="51" t="s">
        <v>162</v>
      </c>
      <c r="E42" s="58">
        <v>3</v>
      </c>
      <c r="F42" s="57" t="s">
        <v>176</v>
      </c>
      <c r="G42" s="59">
        <v>46240</v>
      </c>
      <c r="H42" s="59">
        <v>46362</v>
      </c>
      <c r="I42" s="57" t="s">
        <v>177</v>
      </c>
      <c r="J42" s="57" t="s">
        <v>178</v>
      </c>
      <c r="K42" s="57" t="s">
        <v>44</v>
      </c>
      <c r="L42" s="58">
        <v>0</v>
      </c>
      <c r="M42" s="57" t="s">
        <v>179</v>
      </c>
      <c r="N42" s="57" t="s">
        <v>177</v>
      </c>
      <c r="O42" s="60" t="s">
        <v>180</v>
      </c>
      <c r="P42" s="27"/>
    </row>
    <row r="43" spans="1:16" s="24" customFormat="1" ht="15" customHeight="1" thickBot="1" x14ac:dyDescent="0.3">
      <c r="A43" s="36">
        <v>36</v>
      </c>
      <c r="B43" s="57" t="s">
        <v>181</v>
      </c>
      <c r="C43" s="57" t="s">
        <v>182</v>
      </c>
      <c r="D43" s="47" t="s">
        <v>162</v>
      </c>
      <c r="E43" s="58">
        <v>3</v>
      </c>
      <c r="F43" s="57" t="s">
        <v>176</v>
      </c>
      <c r="G43" s="59">
        <v>46240</v>
      </c>
      <c r="H43" s="58" t="s">
        <v>183</v>
      </c>
      <c r="I43" s="57" t="s">
        <v>177</v>
      </c>
      <c r="J43" s="57" t="s">
        <v>43</v>
      </c>
      <c r="K43" s="57" t="s">
        <v>44</v>
      </c>
      <c r="L43" s="58">
        <v>0</v>
      </c>
      <c r="M43" s="57" t="s">
        <v>179</v>
      </c>
      <c r="N43" s="57" t="s">
        <v>177</v>
      </c>
      <c r="O43" s="60" t="s">
        <v>184</v>
      </c>
      <c r="P43" s="27"/>
    </row>
    <row r="44" spans="1:16" s="24" customFormat="1" ht="15" customHeight="1" thickBot="1" x14ac:dyDescent="0.3">
      <c r="A44" s="22">
        <v>37</v>
      </c>
      <c r="B44" s="57" t="s">
        <v>185</v>
      </c>
      <c r="C44" s="57" t="s">
        <v>186</v>
      </c>
      <c r="D44" s="51" t="s">
        <v>162</v>
      </c>
      <c r="E44" s="58">
        <v>3</v>
      </c>
      <c r="F44" s="57" t="s">
        <v>176</v>
      </c>
      <c r="G44" s="58" t="s">
        <v>183</v>
      </c>
      <c r="H44" s="58" t="s">
        <v>187</v>
      </c>
      <c r="I44" s="57" t="s">
        <v>177</v>
      </c>
      <c r="J44" s="57" t="s">
        <v>43</v>
      </c>
      <c r="K44" s="57" t="s">
        <v>44</v>
      </c>
      <c r="L44" s="58">
        <v>0</v>
      </c>
      <c r="M44" s="57" t="s">
        <v>179</v>
      </c>
      <c r="N44" s="57" t="s">
        <v>177</v>
      </c>
      <c r="O44" s="60" t="s">
        <v>188</v>
      </c>
      <c r="P44" s="27"/>
    </row>
    <row r="45" spans="1:16" s="24" customFormat="1" ht="15" customHeight="1" thickBot="1" x14ac:dyDescent="0.3">
      <c r="A45" s="36">
        <v>38</v>
      </c>
      <c r="B45" s="57" t="s">
        <v>189</v>
      </c>
      <c r="C45" s="57" t="s">
        <v>190</v>
      </c>
      <c r="D45" s="47" t="s">
        <v>162</v>
      </c>
      <c r="E45" s="58">
        <v>3</v>
      </c>
      <c r="F45" s="57" t="s">
        <v>176</v>
      </c>
      <c r="G45" s="58" t="s">
        <v>187</v>
      </c>
      <c r="H45" s="58" t="s">
        <v>191</v>
      </c>
      <c r="I45" s="57" t="s">
        <v>177</v>
      </c>
      <c r="J45" s="57" t="s">
        <v>43</v>
      </c>
      <c r="K45" s="57" t="s">
        <v>44</v>
      </c>
      <c r="L45" s="58">
        <v>0</v>
      </c>
      <c r="M45" s="57" t="s">
        <v>179</v>
      </c>
      <c r="N45" s="57" t="s">
        <v>177</v>
      </c>
      <c r="O45" s="60" t="s">
        <v>192</v>
      </c>
      <c r="P45" s="27"/>
    </row>
    <row r="46" spans="1:16" s="24" customFormat="1" ht="15" customHeight="1" thickBot="1" x14ac:dyDescent="0.3">
      <c r="A46" s="36">
        <v>39</v>
      </c>
      <c r="B46" s="57" t="s">
        <v>193</v>
      </c>
      <c r="C46" s="57" t="s">
        <v>194</v>
      </c>
      <c r="D46" s="51" t="s">
        <v>162</v>
      </c>
      <c r="E46" s="58">
        <v>3</v>
      </c>
      <c r="F46" s="57" t="s">
        <v>176</v>
      </c>
      <c r="G46" s="58" t="s">
        <v>191</v>
      </c>
      <c r="H46" s="59">
        <v>46180</v>
      </c>
      <c r="I46" s="57" t="s">
        <v>177</v>
      </c>
      <c r="J46" s="57" t="s">
        <v>195</v>
      </c>
      <c r="K46" s="57" t="s">
        <v>44</v>
      </c>
      <c r="L46" s="58">
        <v>0</v>
      </c>
      <c r="M46" s="57" t="s">
        <v>179</v>
      </c>
      <c r="N46" s="57" t="s">
        <v>177</v>
      </c>
      <c r="O46" s="60" t="s">
        <v>196</v>
      </c>
      <c r="P46" s="27"/>
    </row>
    <row r="47" spans="1:16" s="24" customFormat="1" ht="15" customHeight="1" thickBot="1" x14ac:dyDescent="0.3">
      <c r="A47" s="22">
        <v>40</v>
      </c>
      <c r="B47" s="57" t="s">
        <v>197</v>
      </c>
      <c r="C47" s="57" t="s">
        <v>198</v>
      </c>
      <c r="D47" s="47" t="s">
        <v>162</v>
      </c>
      <c r="E47" s="58">
        <v>3</v>
      </c>
      <c r="F47" s="57" t="s">
        <v>176</v>
      </c>
      <c r="G47" s="59">
        <v>46180</v>
      </c>
      <c r="H47" s="58" t="s">
        <v>199</v>
      </c>
      <c r="I47" s="57" t="s">
        <v>177</v>
      </c>
      <c r="J47" s="57" t="s">
        <v>195</v>
      </c>
      <c r="K47" s="57" t="s">
        <v>44</v>
      </c>
      <c r="L47" s="58">
        <v>0</v>
      </c>
      <c r="M47" s="57" t="s">
        <v>179</v>
      </c>
      <c r="N47" s="57" t="s">
        <v>177</v>
      </c>
      <c r="O47" s="60" t="s">
        <v>200</v>
      </c>
      <c r="P47" s="27"/>
    </row>
    <row r="48" spans="1:16" s="24" customFormat="1" ht="15" customHeight="1" x14ac:dyDescent="0.25">
      <c r="A48" s="36">
        <v>41</v>
      </c>
      <c r="B48" s="23"/>
      <c r="C48" s="23"/>
      <c r="D48" s="51" t="s">
        <v>162</v>
      </c>
      <c r="E48" s="22"/>
      <c r="F48" s="23"/>
      <c r="G48" s="22"/>
      <c r="H48" s="22"/>
      <c r="I48" s="22"/>
      <c r="J48" s="22"/>
      <c r="K48" s="22"/>
      <c r="L48" s="22"/>
      <c r="M48" s="22"/>
      <c r="N48" s="22"/>
      <c r="O48" s="23"/>
      <c r="P48" s="26"/>
    </row>
    <row r="49" spans="1:16" s="24" customFormat="1" ht="15" customHeight="1" x14ac:dyDescent="0.25">
      <c r="A49" s="22">
        <v>42</v>
      </c>
      <c r="B49" s="23"/>
      <c r="C49" s="23"/>
      <c r="D49" s="23"/>
      <c r="E49" s="22"/>
      <c r="F49" s="23"/>
      <c r="G49" s="22"/>
      <c r="H49" s="22"/>
      <c r="I49" s="22"/>
      <c r="J49" s="22"/>
      <c r="K49" s="22"/>
      <c r="L49" s="22"/>
      <c r="M49" s="22"/>
      <c r="N49" s="22"/>
      <c r="O49" s="23"/>
      <c r="P49" s="26"/>
    </row>
    <row r="50" spans="1:16" s="24" customFormat="1" ht="15" customHeight="1" x14ac:dyDescent="0.25">
      <c r="A50" s="28">
        <v>43</v>
      </c>
      <c r="B50" s="29"/>
      <c r="C50" s="29"/>
      <c r="D50" s="29"/>
      <c r="E50" s="30"/>
      <c r="F50" s="29"/>
      <c r="G50" s="30"/>
      <c r="H50" s="30"/>
      <c r="I50" s="30"/>
      <c r="J50" s="30"/>
      <c r="K50" s="30"/>
      <c r="L50" s="30"/>
      <c r="M50" s="30"/>
      <c r="N50" s="30"/>
      <c r="O50" s="29"/>
    </row>
    <row r="51" spans="1:16" s="24" customFormat="1" ht="15" customHeight="1" x14ac:dyDescent="0.25">
      <c r="A51" s="9">
        <v>44</v>
      </c>
      <c r="B51" s="23"/>
      <c r="C51" s="23"/>
      <c r="D51" s="23"/>
      <c r="E51" s="22"/>
      <c r="F51" s="23"/>
      <c r="G51" s="22"/>
      <c r="H51" s="22"/>
      <c r="I51" s="22"/>
      <c r="J51" s="22"/>
      <c r="K51" s="22"/>
      <c r="L51" s="22"/>
      <c r="M51" s="22"/>
      <c r="N51" s="22"/>
      <c r="O51" s="23"/>
    </row>
    <row r="52" spans="1:16" s="24" customFormat="1" ht="15" customHeight="1" x14ac:dyDescent="0.25">
      <c r="A52" s="12">
        <v>45</v>
      </c>
      <c r="B52" s="23"/>
      <c r="C52" s="23"/>
      <c r="D52" s="23"/>
      <c r="E52" s="22"/>
      <c r="F52" s="23"/>
      <c r="G52" s="22"/>
      <c r="H52" s="22"/>
      <c r="I52" s="22"/>
      <c r="J52" s="22"/>
      <c r="K52" s="22"/>
      <c r="L52" s="22"/>
      <c r="M52" s="22"/>
      <c r="N52" s="22"/>
      <c r="O52" s="23"/>
    </row>
    <row r="53" spans="1:16" s="24" customFormat="1" ht="15" customHeight="1" x14ac:dyDescent="0.25">
      <c r="A53" s="9">
        <v>46</v>
      </c>
      <c r="B53" s="23"/>
      <c r="C53" s="23"/>
      <c r="D53" s="23"/>
      <c r="E53" s="22"/>
      <c r="F53" s="23"/>
      <c r="G53" s="22"/>
      <c r="H53" s="22"/>
      <c r="I53" s="22"/>
      <c r="J53" s="22"/>
      <c r="K53" s="22"/>
      <c r="L53" s="22"/>
      <c r="M53" s="22"/>
      <c r="N53" s="22"/>
      <c r="O53" s="23"/>
    </row>
    <row r="54" spans="1:16" s="24" customFormat="1" ht="15" customHeight="1" x14ac:dyDescent="0.25">
      <c r="A54" s="12">
        <v>47</v>
      </c>
      <c r="B54" s="23"/>
      <c r="C54" s="23"/>
      <c r="D54" s="23"/>
      <c r="E54" s="22"/>
      <c r="F54" s="23"/>
      <c r="G54" s="22"/>
      <c r="H54" s="22"/>
      <c r="I54" s="22"/>
      <c r="J54" s="22"/>
      <c r="K54" s="22"/>
      <c r="L54" s="22"/>
      <c r="M54" s="22"/>
      <c r="N54" s="22"/>
      <c r="O54" s="23"/>
    </row>
    <row r="55" spans="1:16" s="24" customFormat="1" ht="15" customHeight="1" x14ac:dyDescent="0.25">
      <c r="A55" s="9">
        <v>48</v>
      </c>
      <c r="B55" s="23"/>
      <c r="C55" s="23"/>
      <c r="D55" s="23"/>
      <c r="E55" s="22"/>
      <c r="F55" s="23"/>
      <c r="G55" s="22"/>
      <c r="H55" s="22"/>
      <c r="I55" s="22"/>
      <c r="J55" s="22"/>
      <c r="K55" s="22"/>
      <c r="L55" s="22"/>
      <c r="M55" s="22"/>
      <c r="N55" s="22"/>
      <c r="O55" s="23"/>
    </row>
    <row r="56" spans="1:16" s="24" customFormat="1" ht="15" customHeight="1" x14ac:dyDescent="0.25">
      <c r="A56" s="12">
        <v>49</v>
      </c>
      <c r="B56" s="23"/>
      <c r="C56" s="23"/>
      <c r="D56" s="23"/>
      <c r="E56" s="22"/>
      <c r="F56" s="23"/>
      <c r="G56" s="22"/>
      <c r="H56" s="22"/>
      <c r="I56" s="22"/>
      <c r="J56" s="22"/>
      <c r="K56" s="22"/>
      <c r="L56" s="22"/>
      <c r="M56" s="22"/>
      <c r="N56" s="22"/>
      <c r="O56" s="23"/>
    </row>
    <row r="57" spans="1:16" s="24" customFormat="1" ht="15" customHeight="1" x14ac:dyDescent="0.25">
      <c r="A57" s="12">
        <v>50</v>
      </c>
      <c r="B57" s="23"/>
      <c r="C57" s="23"/>
      <c r="D57" s="23"/>
      <c r="E57" s="22"/>
      <c r="F57" s="23"/>
      <c r="G57" s="22"/>
      <c r="H57" s="22"/>
      <c r="I57" s="22"/>
      <c r="J57" s="22"/>
      <c r="K57" s="22"/>
      <c r="L57" s="22"/>
      <c r="M57" s="22"/>
      <c r="N57" s="22"/>
      <c r="O57" s="23"/>
    </row>
    <row r="58" spans="1:16" s="24" customFormat="1" ht="15" customHeight="1" x14ac:dyDescent="0.25">
      <c r="A58" s="9">
        <v>51</v>
      </c>
      <c r="B58" s="23"/>
      <c r="C58" s="23"/>
      <c r="D58" s="23"/>
      <c r="E58" s="22"/>
      <c r="F58" s="23"/>
      <c r="G58" s="22"/>
      <c r="H58" s="22"/>
      <c r="I58" s="22"/>
      <c r="J58" s="22"/>
      <c r="K58" s="22"/>
      <c r="L58" s="22"/>
      <c r="M58" s="22"/>
      <c r="N58" s="22"/>
      <c r="O58" s="23"/>
    </row>
    <row r="59" spans="1:16" s="24" customFormat="1" ht="15" customHeight="1" x14ac:dyDescent="0.25">
      <c r="A59" s="12">
        <v>52</v>
      </c>
      <c r="B59" s="23"/>
      <c r="C59" s="23"/>
      <c r="D59" s="23"/>
      <c r="E59" s="22"/>
      <c r="F59" s="23"/>
      <c r="G59" s="22"/>
      <c r="H59" s="22"/>
      <c r="I59" s="22"/>
      <c r="J59" s="22"/>
      <c r="K59" s="22"/>
      <c r="L59" s="22"/>
      <c r="M59" s="22"/>
      <c r="N59" s="22"/>
      <c r="O59" s="23"/>
    </row>
    <row r="60" spans="1:16" s="24" customFormat="1" ht="15" customHeight="1" x14ac:dyDescent="0.25">
      <c r="A60" s="9">
        <v>53</v>
      </c>
      <c r="B60" s="23"/>
      <c r="C60" s="23"/>
      <c r="D60" s="23"/>
      <c r="E60" s="22"/>
      <c r="F60" s="23"/>
      <c r="G60" s="22"/>
      <c r="H60" s="22"/>
      <c r="I60" s="22"/>
      <c r="J60" s="22"/>
      <c r="K60" s="22"/>
      <c r="L60" s="22"/>
      <c r="M60" s="22"/>
      <c r="N60" s="22"/>
      <c r="O60" s="23"/>
    </row>
    <row r="61" spans="1:16" s="24" customFormat="1" ht="15" customHeight="1" x14ac:dyDescent="0.25">
      <c r="A61" s="12">
        <v>54</v>
      </c>
      <c r="B61" s="23"/>
      <c r="C61" s="23"/>
      <c r="D61" s="23"/>
      <c r="E61" s="22"/>
      <c r="F61" s="23"/>
      <c r="G61" s="22"/>
      <c r="H61" s="22"/>
      <c r="I61" s="22"/>
      <c r="J61" s="22"/>
      <c r="K61" s="22"/>
      <c r="L61" s="22"/>
      <c r="M61" s="22"/>
      <c r="N61" s="22"/>
      <c r="O61" s="23"/>
    </row>
    <row r="62" spans="1:16" s="24" customFormat="1" ht="15" customHeight="1" x14ac:dyDescent="0.25">
      <c r="A62" s="9">
        <v>55</v>
      </c>
      <c r="B62" s="23"/>
      <c r="C62" s="23"/>
      <c r="D62" s="23"/>
      <c r="E62" s="22"/>
      <c r="F62" s="23"/>
      <c r="G62" s="22"/>
      <c r="H62" s="22"/>
      <c r="I62" s="22"/>
      <c r="J62" s="22"/>
      <c r="K62" s="22"/>
      <c r="L62" s="22"/>
      <c r="M62" s="22"/>
      <c r="N62" s="22"/>
      <c r="O62" s="23"/>
    </row>
    <row r="63" spans="1:16" s="24" customFormat="1" ht="15" customHeight="1" x14ac:dyDescent="0.25">
      <c r="A63" s="12">
        <v>56</v>
      </c>
      <c r="B63" s="23"/>
      <c r="C63" s="23"/>
      <c r="D63" s="23"/>
      <c r="E63" s="22"/>
      <c r="F63" s="23"/>
      <c r="G63" s="22"/>
      <c r="H63" s="22"/>
      <c r="I63" s="22"/>
      <c r="J63" s="22"/>
      <c r="K63" s="22"/>
      <c r="L63" s="22"/>
      <c r="M63" s="22"/>
      <c r="N63" s="22"/>
      <c r="O63" s="23"/>
    </row>
    <row r="64" spans="1:16" s="24" customFormat="1" ht="15" customHeight="1" x14ac:dyDescent="0.25">
      <c r="A64" s="9">
        <v>57</v>
      </c>
      <c r="B64" s="23"/>
      <c r="C64" s="23"/>
      <c r="D64" s="23"/>
      <c r="E64" s="22"/>
      <c r="F64" s="23"/>
      <c r="G64" s="22"/>
      <c r="H64" s="22"/>
      <c r="I64" s="22"/>
      <c r="J64" s="22"/>
      <c r="K64" s="22"/>
      <c r="L64" s="22"/>
      <c r="M64" s="22"/>
      <c r="N64" s="22"/>
      <c r="O64" s="23"/>
    </row>
    <row r="65" spans="1:15" ht="15.75" customHeight="1" thickBot="1" x14ac:dyDescent="0.3">
      <c r="A65" s="19" t="s">
        <v>95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20">
        <f>IFERROR(AVERAGEIF(L10:L32,"&gt;0",L10:L32),0)</f>
        <v>1</v>
      </c>
      <c r="M65" s="21"/>
      <c r="N65" s="21"/>
      <c r="O65" s="21"/>
    </row>
  </sheetData>
  <mergeCells count="16">
    <mergeCell ref="A2:A4"/>
    <mergeCell ref="B2:J3"/>
    <mergeCell ref="K2:O2"/>
    <mergeCell ref="K3:O3"/>
    <mergeCell ref="B4:J4"/>
    <mergeCell ref="K4:O4"/>
    <mergeCell ref="A65:K65"/>
    <mergeCell ref="B6:D6"/>
    <mergeCell ref="G6:I6"/>
    <mergeCell ref="K6:L6"/>
    <mergeCell ref="N6:O6"/>
    <mergeCell ref="B7:C7"/>
    <mergeCell ref="E7:F7"/>
    <mergeCell ref="H7:I7"/>
    <mergeCell ref="K7:L7"/>
    <mergeCell ref="N7:O7"/>
  </mergeCells>
  <phoneticPr fontId="0" type="noConversion"/>
  <hyperlinks>
    <hyperlink ref="D28" r:id="rId1" tooltip="Entregable 3" display="https://github.com/IA-DataFlow-Hub/docs/tree/main/Requisitos para aprobar el semillero/6 - Entregas Parciales/Entregable 3" xr:uid="{717E635B-02DC-4654-858B-0C3CF6195584}"/>
    <hyperlink ref="D29" r:id="rId2" tooltip="Entregable 3" display="https://github.com/IA-DataFlow-Hub/docs/tree/main/Requisitos para aprobar el semillero/6 - Entregas Parciales/Entregable 3" xr:uid="{5CA9E379-F4E5-4322-890C-EB26CFA0D350}"/>
    <hyperlink ref="D30" r:id="rId3" tooltip="Entregable 3" display="https://github.com/IA-DataFlow-Hub/docs/tree/main/Requisitos para aprobar el semillero/6 - Entregas Parciales/Entregable 3" xr:uid="{3F97DE31-EE13-4EDA-8237-EF249DA92A1B}"/>
  </hyperlinks>
  <pageMargins left="0.75" right="0.75" top="0.75" bottom="0.75" header="0.25" footer="0.25"/>
  <pageSetup paperSize="7" scale="31" fitToHeight="0" orientation="landscape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/>
  </sheetViews>
  <sheetFormatPr baseColWidth="10" defaultColWidth="8.7109375" defaultRowHeight="15" customHeight="1" x14ac:dyDescent="0.25"/>
  <sheetData>
    <row r="1" spans="1:1" ht="15" customHeight="1" x14ac:dyDescent="0.25">
      <c r="A1" s="7" t="s">
        <v>70</v>
      </c>
    </row>
    <row r="2" spans="1:1" ht="15" customHeight="1" x14ac:dyDescent="0.25">
      <c r="A2" s="7" t="s">
        <v>74</v>
      </c>
    </row>
    <row r="3" spans="1:1" ht="15" customHeight="1" x14ac:dyDescent="0.25">
      <c r="A3" s="7" t="s">
        <v>62</v>
      </c>
    </row>
    <row r="4" spans="1:1" ht="15" customHeight="1" x14ac:dyDescent="0.25">
      <c r="A4" s="7" t="s">
        <v>96</v>
      </c>
    </row>
    <row r="5" spans="1:1" ht="15" customHeight="1" x14ac:dyDescent="0.25">
      <c r="A5" s="7" t="s">
        <v>93</v>
      </c>
    </row>
    <row r="6" spans="1:1" ht="15" customHeight="1" x14ac:dyDescent="0.25">
      <c r="A6" s="7" t="s">
        <v>86</v>
      </c>
    </row>
    <row r="7" spans="1:1" ht="15" customHeight="1" x14ac:dyDescent="0.25">
      <c r="A7" s="7" t="s">
        <v>90</v>
      </c>
    </row>
    <row r="8" spans="1:1" ht="15" customHeight="1" x14ac:dyDescent="0.25">
      <c r="A8" s="7" t="s">
        <v>46</v>
      </c>
    </row>
    <row r="9" spans="1:1" ht="15" customHeight="1" x14ac:dyDescent="0.25">
      <c r="A9" s="7" t="s">
        <v>9</v>
      </c>
    </row>
  </sheetData>
  <phoneticPr fontId="0" type="noConversion"/>
  <pageMargins left="0.75" right="0.75" top="0.75" bottom="0.75" header="0.25" footer="0.2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workbookViewId="0"/>
  </sheetViews>
  <sheetFormatPr baseColWidth="10" defaultColWidth="8.7109375" defaultRowHeight="15" customHeight="1" x14ac:dyDescent="0.25"/>
  <cols>
    <col min="1" max="1" width="4" customWidth="1"/>
    <col min="2" max="2" width="24" customWidth="1"/>
    <col min="3" max="3" width="56" customWidth="1"/>
    <col min="4" max="4" width="32" customWidth="1"/>
  </cols>
  <sheetData>
    <row r="1" spans="1:4" ht="9.75" customHeight="1" x14ac:dyDescent="0.25">
      <c r="A1" s="1"/>
      <c r="B1" s="1"/>
      <c r="C1" s="1"/>
      <c r="D1" s="1"/>
    </row>
    <row r="2" spans="1:4" ht="49.5" customHeight="1" x14ac:dyDescent="0.25">
      <c r="A2" s="9" t="s">
        <v>0</v>
      </c>
      <c r="B2" s="18" t="s">
        <v>97</v>
      </c>
      <c r="C2" s="18"/>
      <c r="D2" s="18"/>
    </row>
    <row r="3" spans="1:4" ht="19.5" customHeight="1" x14ac:dyDescent="0.25">
      <c r="A3" s="9"/>
      <c r="B3" s="16" t="s">
        <v>98</v>
      </c>
      <c r="C3" s="16"/>
      <c r="D3" s="16"/>
    </row>
    <row r="4" spans="1:4" ht="18" customHeight="1" x14ac:dyDescent="0.25">
      <c r="A4" s="9"/>
      <c r="B4" s="7" t="s">
        <v>99</v>
      </c>
      <c r="C4" s="7"/>
      <c r="D4" s="7"/>
    </row>
    <row r="5" spans="1:4" ht="4.5" customHeight="1" x14ac:dyDescent="0.25">
      <c r="A5" s="1"/>
      <c r="B5" s="1"/>
      <c r="C5" s="1"/>
      <c r="D5" s="1"/>
    </row>
    <row r="7" spans="1:4" ht="27.75" customHeight="1" x14ac:dyDescent="0.25">
      <c r="B7" s="14" t="s">
        <v>100</v>
      </c>
      <c r="C7" s="14" t="s">
        <v>101</v>
      </c>
      <c r="D7" s="14" t="s">
        <v>102</v>
      </c>
    </row>
    <row r="8" spans="1:4" ht="42" customHeight="1" x14ac:dyDescent="0.25">
      <c r="B8" s="5" t="s">
        <v>22</v>
      </c>
      <c r="C8" s="13" t="s">
        <v>103</v>
      </c>
      <c r="D8" s="4" t="s">
        <v>104</v>
      </c>
    </row>
    <row r="9" spans="1:4" ht="42" customHeight="1" x14ac:dyDescent="0.25">
      <c r="B9" s="3" t="s">
        <v>23</v>
      </c>
      <c r="C9" s="11" t="s">
        <v>105</v>
      </c>
      <c r="D9" s="2" t="s">
        <v>106</v>
      </c>
    </row>
    <row r="10" spans="1:4" ht="42" customHeight="1" x14ac:dyDescent="0.25">
      <c r="B10" s="5" t="s">
        <v>24</v>
      </c>
      <c r="C10" s="13" t="s">
        <v>107</v>
      </c>
      <c r="D10" s="4" t="s">
        <v>108</v>
      </c>
    </row>
    <row r="11" spans="1:4" ht="42" customHeight="1" x14ac:dyDescent="0.25">
      <c r="B11" s="3" t="s">
        <v>25</v>
      </c>
      <c r="C11" s="11" t="s">
        <v>109</v>
      </c>
      <c r="D11" s="2" t="s">
        <v>110</v>
      </c>
    </row>
    <row r="12" spans="1:4" ht="42" customHeight="1" x14ac:dyDescent="0.25">
      <c r="B12" s="5" t="s">
        <v>111</v>
      </c>
      <c r="C12" s="13" t="s">
        <v>112</v>
      </c>
      <c r="D12" s="4" t="s">
        <v>113</v>
      </c>
    </row>
    <row r="13" spans="1:4" ht="42" customHeight="1" x14ac:dyDescent="0.25">
      <c r="B13" s="3" t="s">
        <v>27</v>
      </c>
      <c r="C13" s="11" t="s">
        <v>114</v>
      </c>
      <c r="D13" s="2" t="s">
        <v>115</v>
      </c>
    </row>
    <row r="14" spans="1:4" ht="42" customHeight="1" x14ac:dyDescent="0.25">
      <c r="B14" s="5" t="s">
        <v>116</v>
      </c>
      <c r="C14" s="13" t="s">
        <v>117</v>
      </c>
      <c r="D14" s="4" t="s">
        <v>118</v>
      </c>
    </row>
    <row r="15" spans="1:4" ht="42" customHeight="1" x14ac:dyDescent="0.25">
      <c r="B15" s="3" t="s">
        <v>31</v>
      </c>
      <c r="C15" s="11" t="s">
        <v>119</v>
      </c>
      <c r="D15" s="2" t="s">
        <v>120</v>
      </c>
    </row>
    <row r="16" spans="1:4" ht="42" customHeight="1" x14ac:dyDescent="0.25">
      <c r="B16" s="5" t="s">
        <v>121</v>
      </c>
      <c r="C16" s="13" t="s">
        <v>122</v>
      </c>
      <c r="D16" s="4" t="s">
        <v>123</v>
      </c>
    </row>
    <row r="17" spans="2:4" ht="42" customHeight="1" x14ac:dyDescent="0.25">
      <c r="B17" s="3" t="s">
        <v>33</v>
      </c>
      <c r="C17" s="11" t="s">
        <v>124</v>
      </c>
      <c r="D17" s="2" t="s">
        <v>125</v>
      </c>
    </row>
    <row r="18" spans="2:4" ht="42" customHeight="1" x14ac:dyDescent="0.25">
      <c r="B18" s="5" t="s">
        <v>34</v>
      </c>
      <c r="C18" s="13" t="s">
        <v>126</v>
      </c>
      <c r="D18" s="4" t="s">
        <v>127</v>
      </c>
    </row>
    <row r="19" spans="2:4" ht="42" customHeight="1" x14ac:dyDescent="0.25">
      <c r="B19" s="3" t="s">
        <v>128</v>
      </c>
      <c r="C19" s="11" t="s">
        <v>129</v>
      </c>
      <c r="D19" s="2" t="s">
        <v>130</v>
      </c>
    </row>
    <row r="20" spans="2:4" ht="42" customHeight="1" x14ac:dyDescent="0.25">
      <c r="B20" s="5" t="s">
        <v>36</v>
      </c>
      <c r="C20" s="13" t="s">
        <v>131</v>
      </c>
      <c r="D20" s="4" t="s">
        <v>108</v>
      </c>
    </row>
    <row r="22" spans="2:4" ht="45.75" customHeight="1" x14ac:dyDescent="0.25">
      <c r="B22" s="16" t="s">
        <v>132</v>
      </c>
      <c r="C22" s="16"/>
      <c r="D22" s="16"/>
    </row>
    <row r="24" spans="2:4" ht="27.75" customHeight="1" x14ac:dyDescent="0.25">
      <c r="B24" s="17" t="s">
        <v>133</v>
      </c>
      <c r="C24" s="17"/>
      <c r="D24" s="17"/>
    </row>
    <row r="25" spans="2:4" ht="21.75" customHeight="1" x14ac:dyDescent="0.25">
      <c r="B25" s="7" t="s">
        <v>134</v>
      </c>
      <c r="C25" s="7"/>
      <c r="D25" s="7"/>
    </row>
    <row r="26" spans="2:4" ht="21.75" customHeight="1" x14ac:dyDescent="0.25">
      <c r="B26" s="6" t="s">
        <v>135</v>
      </c>
      <c r="C26" s="6"/>
      <c r="D26" s="6"/>
    </row>
    <row r="27" spans="2:4" ht="21.75" customHeight="1" x14ac:dyDescent="0.25">
      <c r="B27" s="7" t="s">
        <v>136</v>
      </c>
      <c r="C27" s="7"/>
      <c r="D27" s="7"/>
    </row>
    <row r="28" spans="2:4" ht="21.75" customHeight="1" x14ac:dyDescent="0.25">
      <c r="B28" s="6" t="s">
        <v>137</v>
      </c>
      <c r="C28" s="6"/>
      <c r="D28" s="6"/>
    </row>
    <row r="29" spans="2:4" ht="21.75" customHeight="1" x14ac:dyDescent="0.25">
      <c r="B29" s="8" t="s">
        <v>138</v>
      </c>
      <c r="C29" s="7"/>
      <c r="D29" s="7"/>
    </row>
    <row r="30" spans="2:4" ht="21.75" customHeight="1" x14ac:dyDescent="0.25">
      <c r="B30" s="6" t="s">
        <v>139</v>
      </c>
      <c r="C30" s="6"/>
      <c r="D30" s="6"/>
    </row>
    <row r="31" spans="2:4" ht="21.75" customHeight="1" x14ac:dyDescent="0.25">
      <c r="B31" s="7" t="s">
        <v>140</v>
      </c>
      <c r="C31" s="7"/>
      <c r="D31" s="7"/>
    </row>
    <row r="32" spans="2:4" ht="21.75" customHeight="1" x14ac:dyDescent="0.25">
      <c r="B32" s="16" t="s">
        <v>141</v>
      </c>
      <c r="C32" s="7"/>
      <c r="D32" s="7"/>
    </row>
  </sheetData>
  <mergeCells count="14">
    <mergeCell ref="A2:A4"/>
    <mergeCell ref="B2:D2"/>
    <mergeCell ref="B3:D3"/>
    <mergeCell ref="B4:D4"/>
    <mergeCell ref="B22:D22"/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</mergeCells>
  <phoneticPr fontId="0" type="noConversion"/>
  <pageMargins left="0.75" right="0.75" top="0.75" bottom="0.75" header="0.25" footer="0.2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 DE TRABAJO</vt:lpstr>
      <vt:lpstr>EQUIPO</vt:lpstr>
      <vt:lpstr>INSTRUCTIVO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Juan Diego Maestre</cp:lastModifiedBy>
  <cp:lastPrinted>2026-05-09T14:26:01Z</cp:lastPrinted>
  <dcterms:created xsi:type="dcterms:W3CDTF">2026-05-05T18:29:01Z</dcterms:created>
  <dcterms:modified xsi:type="dcterms:W3CDTF">2026-05-14T00:32:57Z</dcterms:modified>
</cp:coreProperties>
</file>