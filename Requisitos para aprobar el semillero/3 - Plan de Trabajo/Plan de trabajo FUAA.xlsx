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97F005-145B-456F-BC05-C19164C8717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LAN DE TRABAJO" sheetId="1" r:id="rId1"/>
    <sheet name="EQUIPO" sheetId="2" r:id="rId2" state="hidden"/>
    <sheet name="INSTRUCTIVO" sheetId="3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/>
  <c r="K7" i="1"/>
  <c r="L65" i="1"/>
</calcChain>
</file>

<file path=xl/sharedStrings.xml><?xml version="1.0" encoding="utf-8"?>
<sst xmlns="http://schemas.openxmlformats.org/spreadsheetml/2006/main" count="476" uniqueCount="201">
  <si>
    <t>A</t>
  </si>
  <si>
    <t>PLAN DE TRABAJO</t>
  </si>
  <si>
    <t>ECOSISTEMA IA-DataFlow</t>
  </si>
  <si>
    <t>Área Andina · 2026</t>
  </si>
  <si>
    <t>Semillero de Investigación · Ecosistema IA-DataFlow · Fundación Universitaria del Área Andina</t>
  </si>
  <si>
    <t>Inteligencia Artificial &amp; Data Science</t>
  </si>
  <si>
    <t>PROYECTO:</t>
  </si>
  <si>
    <t>Ecosistema IA-DataFlow</t>
  </si>
  <si>
    <t>LÍDER / DOCENTE:</t>
  </si>
  <si>
    <t>Raúl Bareño Gutiérrez</t>
  </si>
  <si>
    <t>PERÍODO:</t>
  </si>
  <si>
    <t>03/2026 – 08/2026</t>
  </si>
  <si>
    <t>VERSIÓN:</t>
  </si>
  <si>
    <t>v1</t>
  </si>
  <si>
    <t>INICIO:</t>
  </si>
  <si>
    <t>01/03/2026</t>
  </si>
  <si>
    <t>FIN ESTIMADO:</t>
  </si>
  <si>
    <t>30/08/2026</t>
  </si>
  <si>
    <t>ACTUALIZACIÓN:</t>
  </si>
  <si>
    <t>18/04/2026</t>
  </si>
  <si>
    <t>TOTAL ACTIVIDADES:</t>
  </si>
  <si>
    <t>COMPLETADAS:</t>
  </si>
  <si>
    <t>NO.</t>
  </si>
  <si>
    <t>TEMA</t>
  </si>
  <si>
    <t>ACTIVIDAD</t>
  </si>
  <si>
    <t>PRODUCTO</t>
  </si>
  <si>
    <r>
      <rPr>
        <rFont val="Arial"/>
        <sz val="9.00"/>
        <b/>
        <color rgb="FFFFFFFF"/>
        <family val="2"/>
      </rPr>
      <t xml:space="preserve">META
</t>
    </r>
    <r>
      <rPr>
        <rFont val="Calibri"/>
        <sz val="11.00"/>
        <color rgb="FF000000"/>
        <family val="2"/>
      </rPr>
      <t>NUMÉRICA</t>
    </r>
  </si>
  <si>
    <t>RESPONSABLE(S)</t>
  </si>
  <si>
    <t>F. INICIO</t>
  </si>
  <si>
    <t>F. FIN</t>
  </si>
  <si>
    <t>F. ENTREGA</t>
  </si>
  <si>
    <t>RIESGO</t>
  </si>
  <si>
    <r>
      <rPr>
        <rFont val="Arial"/>
        <sz val="9.00"/>
        <b/>
        <color rgb="FFFFFFFF"/>
        <family val="2"/>
      </rPr>
      <t xml:space="preserve">ENTREGABLE
</t>
    </r>
    <r>
      <rPr>
        <rFont val="Calibri"/>
        <sz val="11.00"/>
        <color rgb="FF000000"/>
        <family val="2"/>
      </rPr>
      <t>VERIF.</t>
    </r>
  </si>
  <si>
    <t>% AVANCE</t>
  </si>
  <si>
    <t>ESTADO</t>
  </si>
  <si>
    <r>
      <rPr>
        <rFont val="Arial"/>
        <sz val="9.00"/>
        <b/>
        <color rgb="FFFFFFFF"/>
        <family val="2"/>
      </rPr>
      <t xml:space="preserve">APROBADO
</t>
    </r>
    <r>
      <rPr>
        <rFont val="Calibri"/>
        <sz val="11.00"/>
        <color rgb="FF000000"/>
        <family val="2"/>
      </rPr>
      <t>POR</t>
    </r>
  </si>
  <si>
    <t>OBSERVACIONES</t>
  </si>
  <si>
    <t>Investigacion</t>
  </si>
  <si>
    <t>HU 01: Infraestructura y Viabilidad de Servidores</t>
  </si>
  <si>
    <t>Entregable 1</t>
  </si>
  <si>
    <t>Equipo: Sebastián Bautista Martínez y Andres Felipe Andrade</t>
  </si>
  <si>
    <t>15/03/2026</t>
  </si>
  <si>
    <t>30/03/2026</t>
  </si>
  <si>
    <t>Bajo</t>
  </si>
  <si>
    <t>Sí</t>
  </si>
  <si>
    <t>✅ Completado</t>
  </si>
  <si>
    <t>Todo el equipo</t>
  </si>
  <si>
    <t>Entregado sin observaciones</t>
  </si>
  <si>
    <t>HU 02: Análisis de IA, Herramientas ETL y Economía de Tokens</t>
  </si>
  <si>
    <t>Equipo: Juan Diego Mejía y Brayan Monterrosa</t>
  </si>
  <si>
    <t>HU 03: Stack Tecnológico y Manejo de Procesos</t>
  </si>
  <si>
    <t>Equipo: Juan Diego Mejía y Oscar Antury Avila</t>
  </si>
  <si>
    <t>HU 04: Optimización de UX y Evolución de Dashboards</t>
  </si>
  <si>
    <t>Equipo: Oscar Antury Avila y María Virginia Labarca.</t>
  </si>
  <si>
    <t>HU 05: Seguridad, Privacidad y Cumplimiento (Ley 1581)</t>
  </si>
  <si>
    <t>Equipo: Pohlman Cuartas y David Ospina.</t>
  </si>
  <si>
    <t>HU 06: Arquitectura de Software y Modelado UML</t>
  </si>
  <si>
    <t>Equipo: Juan Diego Mejía y David Ospina.</t>
  </si>
  <si>
    <t>Registro CvLAC y semillero</t>
  </si>
  <si>
    <t>IA / NLP</t>
  </si>
  <si>
    <t>HU 07: Construcción del Corpus Maestro (150+ Archivos)</t>
  </si>
  <si>
    <t>Entregable 2</t>
  </si>
  <si>
    <t>Andres Felipe Andrade</t>
  </si>
  <si>
    <t>13/04/2026</t>
  </si>
  <si>
    <t>17/04/2026</t>
  </si>
  <si>
    <t>29/04/2026</t>
  </si>
  <si>
    <t>HU 08: Investigación Exploratoria - Estándar TOON y Tokens</t>
  </si>
  <si>
    <t>29/04/2027</t>
  </si>
  <si>
    <t>IA / ML</t>
  </si>
  <si>
    <t>HU 10: Spike Exploratorio - Selección de Modelo y Fine-Tuning</t>
  </si>
  <si>
    <t>Juan Diego Mejía Maestre</t>
  </si>
  <si>
    <t>29/04/2028</t>
  </si>
  <si>
    <t>IA / Agentes</t>
  </si>
  <si>
    <t>HU 09: Spike Exploratorio - Agentes, Skills y Comandos de IA</t>
  </si>
  <si>
    <t>David Ospina</t>
  </si>
  <si>
    <t>29/04/2029</t>
  </si>
  <si>
    <t>Roles / Equipo</t>
  </si>
  <si>
    <t>HU 06: Mapeo de Capacidades y Configuración de Roles</t>
  </si>
  <si>
    <t>29/04/2030</t>
  </si>
  <si>
    <t>HU 00: Mapeo de Capacidades Técnicas y Roles del Equipo</t>
  </si>
  <si>
    <t>29/04/2031</t>
  </si>
  <si>
    <t>HU 02: Mapeo de Capacidades y Configuración de Roles</t>
  </si>
  <si>
    <t>29/04/2032</t>
  </si>
  <si>
    <t>HU 03: Mapeo de Capacidades y Configuración de Roles</t>
  </si>
  <si>
    <t>29/04/2033</t>
  </si>
  <si>
    <t>HU 01: Mapeo de Capacidades y Configuración de Roles</t>
  </si>
  <si>
    <t>Pohlman Cuartas</t>
  </si>
  <si>
    <t>29/04/2034</t>
  </si>
  <si>
    <t>Entregado con tardanza</t>
  </si>
  <si>
    <t>HU 04: Mapeo de Capacidades y Configuración de Roles</t>
  </si>
  <si>
    <t>María Virginia Labarca</t>
  </si>
  <si>
    <t>29/04/2035</t>
  </si>
  <si>
    <t>HU 05: Mapeo de Capacidades y Configuración de Roles</t>
  </si>
  <si>
    <t>Sebastián Bautista Martínez</t>
  </si>
  <si>
    <t>29/04/2036</t>
  </si>
  <si>
    <t>base de datos</t>
  </si>
  <si>
    <t>HU 11: Diseño y Creación de la Base de Datos Relacional (MySQL)</t>
  </si>
  <si>
    <t>Entregable 3</t>
  </si>
  <si>
    <t>Equipo: Sebastián Bautista Martínez, María Virginia Labarca, Andres Felipe Andrade</t>
  </si>
  <si>
    <t>media</t>
  </si>
  <si>
    <t>queda pendiente para revisar por Juan Diego para revisar si esta completa</t>
  </si>
  <si>
    <t>infraestructura</t>
  </si>
  <si>
    <t>HU 13: Configuración de Infraestructura de Datos (Docker)</t>
  </si>
  <si>
    <t>HU 14: Arquitectura Base y Monorepo</t>
  </si>
  <si>
    <t>datasets</t>
  </si>
  <si>
    <t>HU 15: Clasificación de Dataset de Caos para Entrenamiento de IA</t>
  </si>
  <si>
    <t>Equipo: Pohlman Cuartas y  Oscar Antury Avila</t>
  </si>
  <si>
    <t>El Equipo no entrego la tarea, y se reasigna a Juan Diego para completar esta HU</t>
  </si>
  <si>
    <t>Entregable 4</t>
  </si>
  <si>
    <t>16/5/2026</t>
  </si>
  <si>
    <t>Base de Datos</t>
  </si>
  <si>
    <t>HU-016: Reemplazar ENUMs con Tablas de Catálogo</t>
  </si>
  <si>
    <t>13/05/2026</t>
  </si>
  <si>
    <t>19/05/2026</t>
  </si>
  <si>
    <t>HU-017: Implementar Auditoría y Eliminación Lógica</t>
  </si>
  <si>
    <t>HU-025: Sistema de Notificaciones Individuales y Grupales</t>
  </si>
  <si>
    <t>18/05/2026</t>
  </si>
  <si>
    <t>25/05/2026</t>
  </si>
  <si>
    <t>HU-026: Gestión de Datasets, Tablas y Lineage</t>
  </si>
  <si>
    <t>HU-027: Gestión de Templates ETL y Transf. Predefinidas</t>
  </si>
  <si>
    <t>HU-028: Feed de Actividad y Timeline de Eventos</t>
  </si>
  <si>
    <t>HU-029: Sistema de Reportes y Dashboards Persistentes</t>
  </si>
  <si>
    <t>HU-030: Migración Estratégica de IDs Enteros a UUID/GUID</t>
  </si>
  <si>
    <t>Infraestructura</t>
  </si>
  <si>
    <t>HU-035: Diagramas Clave del Proyecto</t>
  </si>
  <si>
    <t>Equipo: Juan Diego Mejía y David Ospina</t>
  </si>
  <si>
    <t>16/05/2026</t>
  </si>
  <si>
    <t>IA / Herramientas</t>
  </si>
  <si>
    <t>HU-033: Configuración del Entorno de IA (Ollama + LM Studio + Gemini)</t>
  </si>
  <si>
    <t>Por asignar</t>
  </si>
  <si>
    <t>-</t>
  </si>
  <si>
    <t>Medio</t>
  </si>
  <si>
    <t>📋 Backlog</t>
  </si>
  <si>
    <t>Preparación de entorno local</t>
  </si>
  <si>
    <t>Automatización</t>
  </si>
  <si>
    <t>HU-034: Flujos Base en n8n</t>
  </si>
  <si>
    <t>15/06/2026</t>
  </si>
  <si>
    <t>Orquestación de flujos</t>
  </si>
  <si>
    <t>Backend</t>
  </si>
  <si>
    <t>HU-036: Estructura Base del API (NestJS)</t>
  </si>
  <si>
    <t>22/06/2026</t>
  </si>
  <si>
    <t>Definición de arquitectura</t>
  </si>
  <si>
    <t>Frontend</t>
  </si>
  <si>
    <t>HU-037: Capa de Servicios del Frontend (Integración con API)</t>
  </si>
  <si>
    <t>29/06/2026</t>
  </si>
  <si>
    <t>Consumo de endpoints</t>
  </si>
  <si>
    <t>IA / Training</t>
  </si>
  <si>
    <t>HU-038: Fine-Tuning y Preparación de Datasets de IA</t>
  </si>
  <si>
    <t>Alto</t>
  </si>
  <si>
    <t>Refinamiento de datos</t>
  </si>
  <si>
    <t>IA / Modelos</t>
  </si>
  <si>
    <t>HU-039: Entrenamiento y Fine-Tuning de Modelos de IA</t>
  </si>
  <si>
    <t>13/07/2026</t>
  </si>
  <si>
    <t>Fase final de modelos</t>
  </si>
  <si>
    <t>PROMEDIO GENERAL DE AVANCE DEL PROYECTO</t>
  </si>
  <si>
    <t>Oscar Antury Avila</t>
  </si>
  <si>
    <t>INSTRUCTIVO DE USO — PLAN DE TRABAJO</t>
  </si>
  <si>
    <t>Semillero de Investigación · Ecosistema IA-DataFlow</t>
  </si>
  <si>
    <t>Fundación Universitaria del Área Andina · 2026</t>
  </si>
  <si>
    <t>COLUMNA</t>
  </si>
  <si>
    <t>DESCRIPCIÓN Y USO</t>
  </si>
  <si>
    <t>VALORES VÁLIDOS / NOTAS</t>
  </si>
  <si>
    <t>Número consecutivo de la actividad. Se asigna manualmente.</t>
  </si>
  <si>
    <t>Entero: 1, 2, 3…</t>
  </si>
  <si>
    <t>Área, módulo o componente del proyecto al que pertenece la actividad.</t>
  </si>
  <si>
    <t>Ej: Backend, UX/UI, Seguridad…</t>
  </si>
  <si>
    <t>Descripción clara y concreta de la tarea a ejecutar.</t>
  </si>
  <si>
    <t>Texto libre</t>
  </si>
  <si>
    <t>Entregable tangible que evidencia el cumplimiento.</t>
  </si>
  <si>
    <t>Documento, prototipo, código, informe…</t>
  </si>
  <si>
    <t>META NUMÉRICA</t>
  </si>
  <si>
    <t>Cuantificación del producto esperado.</t>
  </si>
  <si>
    <t>Ej: 1 informe, 3 diagramas</t>
  </si>
  <si>
    <r>
      <rPr>
        <rFont val="Arial"/>
        <sz val="9.00"/>
        <color rgb="FF1A1A1A"/>
        <family val="2"/>
      </rPr>
      <t xml:space="preserve">Escriba libremente los nombres de los integrantes a cargo.
</t>
    </r>
    <r>
      <rPr>
        <rFont val="Calibri"/>
        <sz val="11.00"/>
        <color rgb="FF000000"/>
        <family val="2"/>
      </rPr>
      <t>Para múltiples responsables sepárelos por coma.
E</t>
    </r>
    <r>
      <t>j: Juan Diego, David Ospina</t>
    </r>
  </si>
  <si>
    <t>Texto libre — sin restricción de lista</t>
  </si>
  <si>
    <t>F. INICIO / FIN / ENTREGA</t>
  </si>
  <si>
    <t>Fechas del cronograma de la actividad.</t>
  </si>
  <si>
    <t>Formato DD/MM/AAAA</t>
  </si>
  <si>
    <t>Nivel de riesgo. El color se asigna automáticamente al seleccionar.</t>
  </si>
  <si>
    <t>Alto 🔴 · Medio 🟡 · Bajo 🟢</t>
  </si>
  <si>
    <t>ENTREGABLE VERIF.</t>
  </si>
  <si>
    <t>¿El entregable ya fue verificado o validado?</t>
  </si>
  <si>
    <t>Sí ✅ · No ❌ · N/A</t>
  </si>
  <si>
    <r>
      <rPr>
        <rFont val="Arial"/>
        <sz val="9.00"/>
        <color rgb="FF1A1A1A"/>
        <family val="2"/>
      </rPr>
      <t xml:space="preserve">Avance como decimal entre 0 y 1. La barra verde crece automáticamente.
</t>
    </r>
    <r>
      <rPr>
        <rFont val="Calibri"/>
        <sz val="11.00"/>
        <color rgb="FF000000"/>
        <family val="2"/>
      </rPr>
      <t>Ejemplo: escriba 0.75 para representar el 75%.</t>
    </r>
  </si>
  <si>
    <t>Decimal de 0 a 1</t>
  </si>
  <si>
    <r>
      <rPr>
        <rFont val="Arial"/>
        <sz val="9.00"/>
        <color rgb="FF1A1A1A"/>
        <family val="2"/>
      </rPr>
      <t xml:space="preserve">Estado actual de la actividad. Menú desplegable.
</t>
    </r>
    <r>
      <rPr>
        <rFont val="Calibri"/>
        <sz val="11.00"/>
        <color rgb="FF000000"/>
        <family val="2"/>
      </rPr>
      <t>El color se asigna automáticamente.</t>
    </r>
  </si>
  <si>
    <r>
      <rPr>
        <rFont val="Arial"/>
        <sz val="9.00"/>
        <i/>
        <color rgb="FF666666"/>
        <family val="2"/>
      </rPr>
      <t xml:space="preserve">✅ Completado · ⏳ En proceso
</t>
    </r>
    <r>
      <rPr>
        <rFont val="Calibri"/>
        <sz val="11.00"/>
        <color rgb="FF000000"/>
        <family val="2"/>
      </rPr>
      <t>📅 Pendiente · 🔴 Crític</t>
    </r>
    <r>
      <t>o</t>
    </r>
  </si>
  <si>
    <t>APROBADO POR</t>
  </si>
  <si>
    <t>Nombre de quien valida el entregable. Menú desplegable con el equipo.</t>
  </si>
  <si>
    <t>Lista desplegable del equipo</t>
  </si>
  <si>
    <t>Notas adicionales, alertas o comentarios sobre la actividad.</t>
  </si>
  <si>
    <t>💡  RESPONSABLES: Esta columna es texto libre. Puede escribir uno o varios nombres separados por coma sin ninguna restricción de lista.</t>
  </si>
  <si>
    <t>👥  INTEGRANTES DEL EQUIPO — ECOSISTEMA IA-DataFlow</t>
  </si>
  <si>
    <t>• Juan Diego Mejía Maestre</t>
  </si>
  <si>
    <t>• David Ospina</t>
  </si>
  <si>
    <t>• Andres Felipe Andrade</t>
  </si>
  <si>
    <t>• Oscar Antury Avila</t>
  </si>
  <si>
    <t>• Sebastián Bautista Martínez</t>
  </si>
  <si>
    <t>• Pohlman Cuartas</t>
  </si>
  <si>
    <t>• María Virginia Labarca</t>
  </si>
  <si>
    <t>🎓  Raúl Bareño Gutiérrez  (Líder / Docente)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</si>
</sst>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9.00"/>
      <b/>
      <color rgb="FFFFFFFF"/>
      <family val="2"/>
    </font>
    <font>
      <name val="Roboto"/>
      <sz val="10.00"/>
      <color rgb="FF2C481F"/>
      <family val="2"/>
    </font>
    <font>
      <name val="Calibri"/>
      <sz val="11.00"/>
      <u val="single"/>
      <color rgb="FF0563C1"/>
      <family val="2"/>
    </font>
    <font>
      <name val="Arial"/>
      <sz val="10.00"/>
      <color rgb="FF000000"/>
      <family val="2"/>
    </font>
    <font>
      <name val="Arial"/>
      <sz val="9.00"/>
      <color rgb="FF1A1A1A"/>
      <family val="2"/>
    </font>
    <font>
      <name val="Roboto"/>
      <sz val="10.00"/>
      <color rgb="FF434343"/>
      <family val="2"/>
    </font>
    <font>
      <name val="Calibri"/>
      <sz val="11.00"/>
      <color rgb="FFFFFFFF"/>
      <family val="2"/>
    </font>
    <font>
      <name val="Arial"/>
      <sz val="9.00"/>
      <color rgb="FFFFFFFF"/>
      <family val="2"/>
    </font>
    <font>
      <name val="Arial"/>
      <sz val="9.00"/>
      <i/>
      <color rgb="FF666666"/>
      <family val="2"/>
    </font>
    <font>
      <name val="Arial"/>
      <sz val="8.00"/>
      <b/>
      <color rgb="FFFFFFFF"/>
      <family val="2"/>
    </font>
    <font>
      <name val="Arial"/>
      <sz val="9.00"/>
      <b/>
      <color rgb="FF5A8500"/>
      <family val="2"/>
    </font>
    <font>
      <name val="Arial"/>
      <sz val="10.00"/>
      <b/>
      <color rgb="FFFFFFFF"/>
      <family val="2"/>
    </font>
    <font>
      <name val="Arial"/>
      <sz val="9.00"/>
      <color rgb="FF000000"/>
      <family val="2"/>
    </font>
    <font>
      <name val="Arial"/>
      <sz val="12.00"/>
      <b/>
      <color rgb="FFFFFFFF"/>
      <family val="2"/>
    </font>
    <font>
      <name val="Arial"/>
      <sz val="9.00"/>
      <u val="single"/>
      <color rgb="FF1A1A1A"/>
      <family val="2"/>
    </font>
  </fonts>
  <fills count="36">
    <fill>
      <patternFill patternType="none"/>
    </fill>
    <fill>
      <patternFill patternType="gray125"/>
    </fill>
    <fill>
      <patternFill patternType="solid">
        <fgColor rgb="FFB8DC6E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80BC00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0B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80BC0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0BC00"/>
      </left>
      <right style="medium">
        <color rgb="FF80BC00"/>
      </right>
      <top style="medium">
        <color rgb="FF80BC00"/>
      </top>
      <bottom style="medium">
        <color rgb="FF80BC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0BC00"/>
      </left>
      <right style="medium">
        <color rgb="FF80BC00"/>
      </right>
      <top/>
      <bottom style="medium">
        <color rgb="FF80BC00"/>
      </bottom>
      <diagonal/>
    </border>
    <border>
      <left style="thin">
        <color rgb="FFB8DC6E"/>
      </left>
      <right style="thin">
        <color rgb="FFB8DC6E"/>
      </right>
      <top/>
      <bottom style="medium">
        <color rgb="FF80BC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80BC00"/>
      </left>
      <right style="medium">
        <color rgb="FF80BC00"/>
      </right>
      <top/>
      <bottom style="medium">
        <color rgb="FF80BC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9">
    <xf numFmtId="0" fontId="0" fillId="0" borderId="0"/>
    <xf fontId="1" applyFont="1" fillId="2" applyFill="1" applyAlignment="1">
      <alignment vertical="center" horizontal="center" wrapText="1"/>
    </xf>
    <xf fontId="2" applyFont="1" fillId="3" applyFill="1" borderId="1" applyBorder="1" applyAlignment="1">
      <alignment vertical="center" horizontal="center" wrapText="1"/>
    </xf>
    <xf fontId="3" applyFont="1" fillId="4" applyFill="1" borderId="2" applyBorder="1" applyAlignment="1">
      <alignment vertical="center" wrapText="1"/>
    </xf>
    <xf fontId="4" applyFont="1" borderId="3" applyBorder="1" applyAlignment="1">
      <alignment vertical="center" horizontal="left" wrapText="1"/>
    </xf>
    <xf fontId="5" applyFont="1" borderId="4" applyBorder="1" applyAlignment="1">
      <alignment vertical="center"/>
    </xf>
    <xf fontId="6" applyFont="1" fillId="5" applyFill="1" borderId="5" applyBorder="1" applyAlignment="1">
      <alignment vertical="center" horizontal="center" wrapText="1"/>
    </xf>
    <xf fontId="6" applyFont="1" fillId="6" applyFill="1" borderId="6" applyBorder="1" applyAlignment="1">
      <alignment vertical="center" horizontal="center" wrapText="1"/>
    </xf>
    <xf fontId="7" applyFont="1" fillId="7" applyFill="1" borderId="7" applyBorder="1" applyAlignment="1">
      <alignment vertical="center" wrapText="1"/>
    </xf>
    <xf fontId="8" applyFont="1" fillId="8" applyFill="1" borderId="8" applyBorder="1" applyAlignment="1">
      <alignment vertical="center" horizontal="center"/>
    </xf>
    <xf fontId="7" applyFont="1" fillId="9" applyFill="1" borderId="9" applyBorder="1" applyAlignment="1">
      <alignment vertical="center" wrapText="1"/>
    </xf>
    <xf fontId="9" applyFont="1" fillId="10" applyFill="1" borderId="10" applyBorder="1" applyAlignment="1">
      <alignment vertical="center" horizontal="left" wrapText="1"/>
    </xf>
    <xf fontId="10" applyFont="1" fillId="11" applyFill="1" borderId="11" applyBorder="1" applyAlignment="1">
      <alignment vertical="center" horizontal="left" wrapText="1"/>
    </xf>
    <xf fontId="7" applyFont="1" fillId="12" applyFill="1" borderId="12" applyBorder="1" applyAlignment="1">
      <alignment vertical="center" horizontal="right" wrapText="1"/>
    </xf>
    <xf fontId="1" applyFont="1" fillId="13" applyFill="1" applyAlignment="1">
      <alignment vertical="center" horizontal="left" wrapText="1"/>
    </xf>
    <xf fontId="4" applyFont="1" borderId="13" applyBorder="1"/>
    <xf fontId="11" applyFont="1" fillId="14" applyFill="1" borderId="14" applyBorder="1" applyAlignment="1">
      <alignment vertical="center" horizontal="left" wrapText="1"/>
    </xf>
    <xf fontId="12" applyFont="1" fillId="15" applyFill="1" borderId="15" applyBorder="1" applyAlignment="1">
      <alignment vertical="center" horizontal="left" wrapText="1"/>
    </xf>
    <xf fontId="13" applyFont="1" fillId="16" applyFill="1" borderId="16" applyBorder="1" applyAlignment="1">
      <alignment vertical="center" horizontal="center"/>
    </xf>
    <xf fontId="6" applyFont="1" fillId="17" applyFill="1" borderId="17" applyBorder="1" applyAlignment="1">
      <alignment vertical="center" horizontal="center" wrapText="1"/>
    </xf>
    <xf fontId="6" applyFont="1" fillId="18" applyFill="1" borderId="18" applyBorder="1" applyAlignment="1">
      <alignment vertical="center" horizontal="left" wrapText="1"/>
    </xf>
    <xf fontId="14" applyFont="1" borderId="19" applyBorder="1" applyAlignment="1">
      <alignment vertical="center" horizontal="left" wrapText="1"/>
    </xf>
    <xf fontId="6" applyFont="1" fillId="19" applyFill="1" borderId="20" applyBorder="1" applyAlignment="1">
      <alignment vertical="center" horizontal="center" wrapText="1"/>
    </xf>
    <xf fontId="6" applyFont="1" fillId="20" applyFill="1" borderId="21" applyBorder="1" applyAlignment="1">
      <alignment vertical="center" horizontal="center" wrapText="1"/>
    </xf>
    <xf fontId="6" applyFont="1" fillId="21" applyFill="1" borderId="22" applyBorder="1" applyAlignment="1">
      <alignment vertical="center" horizontal="center" wrapText="1"/>
    </xf>
    <xf fontId="12" applyFont="1" fillId="22" applyFill="1" borderId="23" applyBorder="1" applyAlignment="1">
      <alignment vertical="center" horizontal="left" wrapText="1"/>
    </xf>
    <xf fontId="1" applyFont="1" fillId="23" applyFill="1" borderId="24" applyBorder="1" applyAlignment="1">
      <alignment vertical="center" horizontal="left"/>
    </xf>
    <xf fontId="2" applyFont="1" fillId="24" applyFill="1" borderId="25" applyBorder="1" applyAlignment="1">
      <alignment vertical="center" horizontal="center" wrapText="1"/>
    </xf>
    <xf fontId="9" applyFont="1" fillId="25" applyFill="1" borderId="26" applyBorder="1" applyAlignment="1">
      <alignment vertical="center" horizontal="center" wrapText="1"/>
    </xf>
    <xf fontId="15" applyFont="1" fillId="26" applyFill="1" borderId="27" applyBorder="1" applyAlignment="1">
      <alignment vertical="center" horizontal="center"/>
    </xf>
    <xf fontId="5" applyFont="1" borderId="28" applyBorder="1" applyAlignment="1">
      <alignment horizontal="right" wrapText="1"/>
    </xf>
    <xf fontId="1" applyFont="1" applyAlignment="1">
      <alignment vertical="center" horizontal="center" wrapText="1"/>
    </xf>
    <xf fontId="6" applyFont="1" fillId="27" applyFill="1" borderId="29" applyBorder="1" applyAlignment="1">
      <alignment vertical="center" horizontal="left" wrapText="1"/>
    </xf>
    <xf fontId="7" applyFont="1" fillId="28" applyFill="1" borderId="30" applyBorder="1" applyAlignment="1">
      <alignment vertical="center" horizontal="right" wrapText="1"/>
    </xf>
    <xf fontId="6" applyFont="1" borderId="31" applyBorder="1" applyAlignment="1">
      <alignment vertical="center" horizontal="left" wrapText="1"/>
    </xf>
    <xf fontId="6" applyFont="1" fillId="29" applyFill="1" borderId="32" applyBorder="1" applyAlignment="1">
      <alignment vertical="center" horizontal="left" wrapText="1"/>
    </xf>
    <xf fontId="6" applyFont="1" fillId="30" applyFill="1" borderId="33" applyBorder="1" applyAlignment="1">
      <alignment vertical="center" horizontal="left" wrapText="1"/>
    </xf>
    <xf fontId="5" applyFont="1" borderId="34" applyBorder="1" applyAlignment="1">
      <alignment wrapText="1"/>
    </xf>
    <xf fontId="6" applyFont="1" borderId="35" applyBorder="1" applyAlignment="1">
      <alignment vertical="center" horizontal="center" wrapText="1"/>
    </xf>
    <xf fontId="8" applyFont="1" fillId="31" applyFill="1"/>
    <xf fontId="3" applyFont="1" fillId="32" applyFill="1" borderId="36" applyBorder="1" applyAlignment="1">
      <alignment vertical="center" wrapText="1"/>
    </xf>
    <xf fontId="1" applyFont="1" borderId="37" applyBorder="1"/>
    <xf fontId="6" applyFont="1" fillId="33" applyFill="1" borderId="38" applyBorder="1" applyAlignment="1">
      <alignment vertical="center" horizontal="center" wrapText="1"/>
    </xf>
    <xf fontId="1" applyFont="1" borderId="39" applyBorder="1" applyAlignment="1">
      <alignment vertical="center" horizontal="center"/>
    </xf>
    <xf fontId="5" applyFont="1" borderId="40" applyBorder="1" applyAlignment="1">
      <alignment wrapText="1"/>
    </xf>
    <xf fontId="14" applyFont="1" borderId="41" applyBorder="1" applyAlignment="1">
      <alignment vertical="center" horizontal="center" wrapText="1"/>
    </xf>
    <xf fontId="16" applyFont="1" borderId="42" applyBorder="1" applyAlignment="1">
      <alignment vertical="center" horizontal="center" wrapText="1"/>
    </xf>
    <xf fontId="10" applyFont="1" fillId="34" applyFill="1" borderId="43" applyBorder="1" applyAlignment="1">
      <alignment vertical="center" horizontal="left" wrapText="1"/>
    </xf>
    <xf fontId="11" applyFont="1" fillId="35" applyFill="1" borderId="44" applyBorder="1" applyAlignment="1">
      <alignment vertical="center" horizontal="left"/>
    </xf>
  </cellStyleXfs>
  <cellXfs count="49">
    <xf numFmtId="0" fontId="0" fillId="0" borderId="0" xfId="0"/>
    <xf xfId="14" quotePrefix="0" pivotButton="0" fontId="1" applyFont="1" fillId="13" applyFill="1" applyAlignment="1">
      <alignment vertical="center" horizontal="left" wrapText="1"/>
    </xf>
    <xf xfId="39" quotePrefix="0" pivotButton="0" fontId="8" applyFont="1" fillId="31" applyFill="1"/>
    <xf xfId="18" quotePrefix="0" pivotButton="0" fontId="13" applyFont="1" fillId="16" applyFill="1" borderId="16" applyBorder="1" applyAlignment="1">
      <alignment vertical="center" horizontal="center"/>
    </xf>
    <xf xfId="36" quotePrefix="0" pivotButton="0" fontId="6" applyFont="1" fillId="30" applyFill="1" borderId="33" applyBorder="1" applyAlignment="1">
      <alignment vertical="center" horizontal="left" wrapText="1"/>
    </xf>
    <xf xfId="24" quotePrefix="0" pivotButton="0" fontId="6" applyFont="1" fillId="21" applyFill="1" borderId="22" applyBorder="1" applyAlignment="1">
      <alignment vertical="center" horizontal="center" wrapText="1"/>
    </xf>
    <xf xfId="20" quotePrefix="0" pivotButton="0" fontId="6" applyFont="1" fillId="18" applyFill="1" borderId="18" applyBorder="1" applyAlignment="1">
      <alignment vertical="center" horizontal="left" wrapText="1"/>
    </xf>
    <xf xfId="6" quotePrefix="0" pivotButton="0" fontId="6" applyFont="1" fillId="5" applyFill="1" borderId="5" applyBorder="1" applyAlignment="1">
      <alignment vertical="center" horizontal="center" wrapText="1"/>
    </xf>
    <xf xfId="16" quotePrefix="0" pivotButton="0" fontId="11" applyFont="1" fillId="14" applyFill="1" borderId="14" applyBorder="1" applyAlignment="1">
      <alignment vertical="center" horizontal="left" wrapText="1"/>
    </xf>
    <xf xfId="47" quotePrefix="0" pivotButton="0" fontId="10" applyFont="1" fillId="34" applyFill="1" borderId="43" applyBorder="1" applyAlignment="1">
      <alignment vertical="center" horizontal="left" wrapText="1"/>
    </xf>
    <xf xfId="48" quotePrefix="0" pivotButton="0" fontId="11" applyFont="1" fillId="35" applyFill="1" borderId="44" applyBorder="1" applyAlignment="1">
      <alignment vertical="center" horizontal="left"/>
    </xf>
    <xf xfId="1" quotePrefix="0" pivotButton="0" fontId="1" applyFont="1" fillId="2" applyFill="1" applyAlignment="1">
      <alignment vertical="center" horizontal="center" wrapText="1"/>
    </xf>
    <xf xfId="2" quotePrefix="0" pivotButton="0" fontId="2" applyFont="1" fillId="3" applyFill="1" borderId="1" applyBorder="1" applyAlignment="1">
      <alignment vertical="center" horizontal="center" wrapText="1"/>
    </xf>
    <xf xfId="7" quotePrefix="0" pivotButton="0" fontId="6" applyFont="1" fillId="6" applyFill="1" borderId="6" applyBorder="1" applyAlignment="1">
      <alignment vertical="center" horizontal="center" wrapText="1"/>
    </xf>
    <xf xfId="34" quotePrefix="0" pivotButton="0" fontId="6" applyFont="1" borderId="31" applyBorder="1" applyAlignment="1">
      <alignment vertical="center" horizontal="left" wrapText="1"/>
    </xf>
    <xf xfId="4" quotePrefix="0" pivotButton="0" fontId="4" applyFont="1" borderId="3" applyBorder="1" applyAlignment="1">
      <alignment vertical="center" horizontal="left" wrapText="1"/>
    </xf>
    <xf xfId="38" quotePrefix="0" pivotButton="0" fontId="6" applyFont="1" borderId="35" applyBorder="1" applyAlignment="1">
      <alignment vertical="center" horizontal="center" wrapText="1"/>
    </xf>
    <xf xfId="43" quotePrefix="0" pivotButton="0" fontId="1" applyFont="1" borderId="39" applyBorder="1" applyAlignment="1">
      <alignment vertical="center" horizontal="center"/>
    </xf>
    <xf xfId="23" quotePrefix="0" pivotButton="0" fontId="6" applyFont="1" fillId="20" applyFill="1" borderId="21" applyBorder="1" applyAlignment="1">
      <alignment vertical="center" horizontal="center" wrapText="1"/>
    </xf>
    <xf xfId="15" quotePrefix="0" pivotButton="0" fontId="4" applyFont="1" borderId="13" applyBorder="1"/>
    <xf xfId="46" quotePrefix="0" pivotButton="0" fontId="16" applyFont="1" borderId="42" applyBorder="1" applyAlignment="1">
      <alignment vertical="center" horizontal="center" wrapText="1"/>
    </xf>
    <xf xfId="42" quotePrefix="0" pivotButton="0" fontId="6" applyFont="1" fillId="33" applyFill="1" borderId="38" applyBorder="1" applyAlignment="1">
      <alignment vertical="center" horizontal="center" wrapText="1"/>
    </xf>
    <xf xfId="11" quotePrefix="0" pivotButton="0" fontId="9" applyFont="1" fillId="10" applyFill="1" borderId="10" applyBorder="1" applyAlignment="1">
      <alignment vertical="center" horizontal="left" wrapText="1"/>
    </xf>
    <xf xfId="28" quotePrefix="0" pivotButton="0" fontId="9" applyFont="1" fillId="25" applyFill="1" borderId="26" applyBorder="1" applyAlignment="1">
      <alignment vertical="center" horizontal="center" wrapText="1"/>
    </xf>
    <xf xfId="9" quotePrefix="0" pivotButton="0" fontId="8" applyFont="1" fillId="8" applyFill="1" borderId="8" applyBorder="1" applyAlignment="1">
      <alignment vertical="center" horizontal="center"/>
    </xf>
    <xf xfId="45" quotePrefix="0" pivotButton="0" fontId="14" applyFont="1" borderId="41" applyBorder="1" applyAlignment="1">
      <alignment vertical="center" horizontal="center" wrapText="1"/>
    </xf>
    <xf xfId="21" quotePrefix="0" pivotButton="0" fontId="14" applyFont="1" borderId="19" applyBorder="1" applyAlignment="1">
      <alignment vertical="center" horizontal="left" wrapText="1"/>
    </xf>
    <xf xfId="40" quotePrefix="0" pivotButton="0" fontId="3" applyFont="1" fillId="32" applyFill="1" borderId="36" applyBorder="1" applyAlignment="1">
      <alignment vertical="center" wrapText="1"/>
    </xf>
    <xf xfId="10" quotePrefix="0" pivotButton="0" fontId="7" applyFont="1" fillId="9" applyFill="1" borderId="9" applyBorder="1" applyAlignment="1">
      <alignment vertical="center" wrapText="1"/>
    </xf>
    <xf xfId="3" quotePrefix="0" pivotButton="0" fontId="3" applyFont="1" fillId="4" applyFill="1" borderId="2" applyBorder="1" applyAlignment="1">
      <alignment vertical="center" wrapText="1"/>
    </xf>
    <xf xfId="13" quotePrefix="0" pivotButton="0" fontId="7" applyFont="1" fillId="12" applyFill="1" borderId="12" applyBorder="1" applyAlignment="1">
      <alignment vertical="center" horizontal="right" wrapText="1"/>
    </xf>
    <xf xfId="32" quotePrefix="0" pivotButton="0" fontId="6" applyFont="1" fillId="27" applyFill="1" borderId="29" applyBorder="1" applyAlignment="1">
      <alignment vertical="center" horizontal="left" wrapText="1"/>
    </xf>
    <xf xfId="41" quotePrefix="0" pivotButton="0" fontId="1" applyFont="1" borderId="37" applyBorder="1"/>
    <xf xfId="8" quotePrefix="0" pivotButton="0" fontId="7" applyFont="1" fillId="7" applyFill="1" borderId="7" applyBorder="1" applyAlignment="1">
      <alignment vertical="center" wrapText="1"/>
    </xf>
    <xf xfId="33" quotePrefix="0" pivotButton="0" fontId="7" applyFont="1" fillId="28" applyFill="1" borderId="30" applyBorder="1" applyAlignment="1">
      <alignment vertical="center" horizontal="right" wrapText="1"/>
    </xf>
    <xf xfId="44" quotePrefix="0" pivotButton="0" fontId="5" applyFont="1" borderId="40" applyBorder="1" applyAlignment="1">
      <alignment wrapText="1"/>
    </xf>
    <xf xfId="30" quotePrefix="0" pivotButton="0" fontId="5" applyFont="1" borderId="28" applyBorder="1" applyAlignment="1">
      <alignment horizontal="right" wrapText="1"/>
    </xf>
    <xf xfId="5" quotePrefix="0" pivotButton="0" fontId="5" applyFont="1" borderId="4" applyBorder="1" applyAlignment="1">
      <alignment vertical="center"/>
    </xf>
    <xf xfId="37" quotePrefix="0" pivotButton="0" fontId="5" applyFont="1" borderId="34" applyBorder="1" applyAlignment="1">
      <alignment wrapText="1"/>
    </xf>
    <xf xfId="19" quotePrefix="0" pivotButton="0" fontId="6" applyFont="1" fillId="17" applyFill="1" borderId="17" applyBorder="1" applyAlignment="1">
      <alignment vertical="center" horizontal="center" wrapText="1"/>
    </xf>
    <xf xfId="35" quotePrefix="0" pivotButton="0" fontId="6" applyFont="1" fillId="29" applyFill="1" borderId="32" applyBorder="1" applyAlignment="1">
      <alignment vertical="center" horizontal="left" wrapText="1"/>
    </xf>
    <xf xfId="22" quotePrefix="0" pivotButton="0" fontId="6" applyFont="1" fillId="19" applyFill="1" borderId="20" applyBorder="1" applyAlignment="1">
      <alignment vertical="center" horizontal="center" wrapText="1"/>
    </xf>
    <xf xfId="27" quotePrefix="0" pivotButton="0" fontId="2" applyFont="1" fillId="24" applyFill="1" borderId="25" applyBorder="1" applyAlignment="1">
      <alignment vertical="center" horizontal="center" wrapText="1"/>
    </xf>
    <xf xfId="29" quotePrefix="0" pivotButton="0" fontId="15" applyFont="1" fillId="26" applyFill="1" borderId="27" applyBorder="1" applyAlignment="1">
      <alignment vertical="center" horizontal="center"/>
    </xf>
    <xf xfId="26" quotePrefix="0" pivotButton="0" fontId="1" applyFont="1" fillId="23" applyFill="1" borderId="24" applyBorder="1" applyAlignment="1">
      <alignment vertical="center" horizontal="left"/>
    </xf>
    <xf xfId="31" quotePrefix="0" pivotButton="0" fontId="1" applyFont="1" applyAlignment="1">
      <alignment vertical="center" horizontal="center" wrapText="1"/>
    </xf>
    <xf xfId="17" quotePrefix="0" pivotButton="0" fontId="12" applyFont="1" fillId="15" applyFill="1" borderId="15" applyBorder="1" applyAlignment="1">
      <alignment vertical="center" horizontal="left" wrapText="1"/>
    </xf>
    <xf xfId="25" quotePrefix="0" pivotButton="0" fontId="12" applyFont="1" fillId="22" applyFill="1" borderId="23" applyBorder="1" applyAlignment="1">
      <alignment vertical="center" horizontal="left" wrapText="1"/>
    </xf>
    <xf xfId="12" quotePrefix="0" pivotButton="0" fontId="10" applyFont="1" fillId="11" applyFill="1" borderId="11" applyBorder="1" applyAlignment="1">
      <alignment vertical="center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9" topLeftCell="D10" activePane="bottomRight" state="frozen"/>
      <selection activeCell="A1" sqref="A1"/>
    </sheetView>
  </sheetViews>
  <sheetFormatPr defaultRowHeight="15.00" customHeight="1" defaultColWidth="8.71"/>
  <cols>
    <col min="1" max="1" width="10.43" customWidth="1" hidden="0"/>
    <col min="2" max="2" width="17.17" customWidth="1" hidden="0"/>
    <col min="3" max="3" width="61.94" customWidth="1" hidden="0"/>
    <col min="4" max="4" width="32.13" customWidth="1" hidden="0"/>
    <col min="5" max="5" width="11.28" customWidth="1" hidden="0"/>
    <col min="6" max="6" width="67.70" customWidth="1" hidden="0"/>
    <col min="7" max="7" width="14.23" customWidth="1" hidden="0"/>
    <col min="8" max="9" width="10.67" customWidth="1" hidden="0"/>
    <col min="10" max="10" width="17.54" customWidth="1" hidden="0"/>
    <col min="11" max="11" width="10.67" customWidth="1" hidden="0"/>
    <col min="12" max="12" width="10.18" customWidth="1" hidden="0"/>
    <col min="13" max="13" width="14.72" customWidth="1" hidden="0"/>
    <col min="14" max="14" width="18.40" customWidth="1" hidden="0"/>
    <col min="15" max="15" width="66.60" customWidth="1" hidden="0"/>
  </cols>
  <sheetData>
    <row r="1" ht="15.00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00" customHeight="true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4" t="s">
        <v>2</v>
      </c>
      <c r="L2" s="4"/>
      <c r="M2" s="4"/>
      <c r="N2" s="4"/>
      <c r="O2" s="4"/>
    </row>
    <row r="3" ht="15.00" customHeight="true">
      <c r="A3" s="2"/>
      <c r="B3" s="2"/>
      <c r="C3" s="3"/>
      <c r="D3" s="3"/>
      <c r="E3" s="3"/>
      <c r="F3" s="3"/>
      <c r="G3" s="3"/>
      <c r="H3" s="3"/>
      <c r="I3" s="3"/>
      <c r="J3" s="3"/>
      <c r="K3" s="5" t="s">
        <v>3</v>
      </c>
      <c r="L3" s="5"/>
      <c r="M3" s="5"/>
      <c r="N3" s="5"/>
      <c r="O3" s="5"/>
    </row>
    <row r="4" ht="15.00" customHeight="true">
      <c r="A4" s="2"/>
      <c r="B4" s="6" t="s">
        <v>4</v>
      </c>
      <c r="C4" s="6"/>
      <c r="D4" s="6"/>
      <c r="E4" s="6"/>
      <c r="F4" s="6"/>
      <c r="G4" s="6"/>
      <c r="H4" s="6"/>
      <c r="I4" s="6"/>
      <c r="J4" s="6"/>
      <c r="K4" s="7" t="s">
        <v>5</v>
      </c>
      <c r="L4" s="7"/>
      <c r="M4" s="7"/>
      <c r="N4" s="7"/>
      <c r="O4" s="7"/>
    </row>
    <row r="5" ht="15.00" customHeight="tru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5.00" customHeight="true">
      <c r="A6" s="8" t="s">
        <v>6</v>
      </c>
      <c r="B6" s="9" t="s">
        <v>7</v>
      </c>
      <c r="C6" s="9"/>
      <c r="D6" s="9"/>
      <c r="F6" s="8" t="s">
        <v>8</v>
      </c>
      <c r="G6" s="9" t="s">
        <v>9</v>
      </c>
      <c r="H6" s="9"/>
      <c r="I6" s="9"/>
      <c r="J6" s="8" t="s">
        <v>10</v>
      </c>
      <c r="K6" s="9" t="s">
        <v>11</v>
      </c>
      <c r="L6" s="9"/>
      <c r="M6" s="8" t="s">
        <v>12</v>
      </c>
      <c r="N6" s="9" t="s">
        <v>13</v>
      </c>
      <c r="O6" s="9"/>
    </row>
    <row r="7" ht="15.00" customHeight="true">
      <c r="A7" s="10" t="s">
        <v>14</v>
      </c>
      <c r="B7" s="8" t="s">
        <v>15</v>
      </c>
      <c r="C7" s="8"/>
      <c r="D7" s="10" t="s">
        <v>16</v>
      </c>
      <c r="E7" s="8" t="s">
        <v>17</v>
      </c>
      <c r="F7" s="8"/>
      <c r="G7" s="10" t="s">
        <v>18</v>
      </c>
      <c r="H7" s="8" t="s">
        <v>19</v>
      </c>
      <c r="I7" s="8"/>
      <c r="J7" s="10" t="s">
        <v>20</v>
      </c>
      <c r="K7" s="8">
        <f>=COUNTA(A10:A32)</f>
      </c>
      <c r="L7" s="8"/>
      <c r="M7" s="10" t="s">
        <v>21</v>
      </c>
      <c r="N7" s="8">
        <f>=COUNTIF(M10:M32,"✅ Completado")</f>
      </c>
      <c r="O7" s="8"/>
    </row>
    <row r="8" ht="15.00" customHeight="tru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39.00" customHeight="true">
      <c r="A9" s="12" t="s">
        <v>22</v>
      </c>
      <c r="B9" s="12" t="s">
        <v>23</v>
      </c>
      <c r="C9" s="12" t="s">
        <v>24</v>
      </c>
      <c r="D9" s="12" t="s">
        <v>25</v>
      </c>
      <c r="E9" s="12" t="s">
        <v>26</v>
      </c>
      <c r="F9" s="12" t="s">
        <v>27</v>
      </c>
      <c r="G9" s="12" t="s">
        <v>28</v>
      </c>
      <c r="H9" s="12" t="s">
        <v>29</v>
      </c>
      <c r="I9" s="12" t="s">
        <v>30</v>
      </c>
      <c r="J9" s="12" t="s">
        <v>31</v>
      </c>
      <c r="K9" s="12" t="s">
        <v>32</v>
      </c>
      <c r="L9" s="12" t="s">
        <v>33</v>
      </c>
      <c r="M9" s="12" t="s">
        <v>34</v>
      </c>
      <c r="N9" s="12" t="s">
        <v>35</v>
      </c>
      <c r="O9" s="12" t="s">
        <v>36</v>
      </c>
    </row>
    <row r="10" ht="15.00" customHeight="true">
      <c r="A10" s="13">
        <v>1</v>
      </c>
      <c r="B10" s="14" t="s">
        <v>37</v>
      </c>
      <c r="C10" s="14" t="s">
        <v>38</v>
      </c>
      <c r="D10" s="15" t="s">
        <v>39</v>
      </c>
      <c r="E10" s="16">
        <v>3</v>
      </c>
      <c r="F10" s="14" t="s">
        <v>40</v>
      </c>
      <c r="G10" s="17" t="s">
        <v>41</v>
      </c>
      <c r="H10" s="17" t="s">
        <v>42</v>
      </c>
      <c r="I10" s="17" t="s">
        <v>19</v>
      </c>
      <c r="J10" s="16" t="s">
        <v>43</v>
      </c>
      <c r="K10" s="16" t="s">
        <v>44</v>
      </c>
      <c r="L10" s="16">
        <v>1</v>
      </c>
      <c r="M10" s="16" t="s">
        <v>45</v>
      </c>
      <c r="N10" s="16" t="s">
        <v>46</v>
      </c>
      <c r="O10" s="14" t="s">
        <v>47</v>
      </c>
    </row>
    <row r="11" ht="15.00" customHeight="true">
      <c r="A11" s="18">
        <v>2</v>
      </c>
      <c r="B11" s="14" t="s">
        <v>37</v>
      </c>
      <c r="C11" s="14" t="s">
        <v>48</v>
      </c>
      <c r="D11" s="15" t="s">
        <v>39</v>
      </c>
      <c r="E11" s="16">
        <v>3</v>
      </c>
      <c r="F11" s="14" t="s">
        <v>49</v>
      </c>
      <c r="G11" s="17" t="s">
        <v>41</v>
      </c>
      <c r="H11" s="17" t="s">
        <v>42</v>
      </c>
      <c r="I11" s="17" t="s">
        <v>19</v>
      </c>
      <c r="J11" s="16" t="s">
        <v>43</v>
      </c>
      <c r="K11" s="16" t="s">
        <v>44</v>
      </c>
      <c r="L11" s="16">
        <v>1</v>
      </c>
      <c r="M11" s="16" t="s">
        <v>45</v>
      </c>
      <c r="N11" s="16" t="s">
        <v>46</v>
      </c>
      <c r="O11" s="14" t="s">
        <v>47</v>
      </c>
    </row>
    <row r="12" ht="15.00" customHeight="true">
      <c r="A12" s="13">
        <v>3</v>
      </c>
      <c r="B12" s="14" t="s">
        <v>37</v>
      </c>
      <c r="C12" s="14" t="s">
        <v>50</v>
      </c>
      <c r="D12" s="15" t="s">
        <v>39</v>
      </c>
      <c r="E12" s="16">
        <v>3</v>
      </c>
      <c r="F12" s="14" t="s">
        <v>51</v>
      </c>
      <c r="G12" s="17" t="s">
        <v>41</v>
      </c>
      <c r="H12" s="17" t="s">
        <v>42</v>
      </c>
      <c r="I12" s="17" t="s">
        <v>19</v>
      </c>
      <c r="J12" s="16" t="s">
        <v>43</v>
      </c>
      <c r="K12" s="16" t="s">
        <v>44</v>
      </c>
      <c r="L12" s="16">
        <v>1</v>
      </c>
      <c r="M12" s="16" t="s">
        <v>45</v>
      </c>
      <c r="N12" s="16" t="s">
        <v>46</v>
      </c>
      <c r="O12" s="14" t="s">
        <v>47</v>
      </c>
    </row>
    <row r="13" ht="15.00" customHeight="true">
      <c r="A13" s="18">
        <v>4</v>
      </c>
      <c r="B13" s="14" t="s">
        <v>37</v>
      </c>
      <c r="C13" s="14" t="s">
        <v>52</v>
      </c>
      <c r="D13" s="15" t="s">
        <v>39</v>
      </c>
      <c r="E13" s="16">
        <v>3</v>
      </c>
      <c r="F13" s="14" t="s">
        <v>53</v>
      </c>
      <c r="G13" s="17" t="s">
        <v>41</v>
      </c>
      <c r="H13" s="17" t="s">
        <v>42</v>
      </c>
      <c r="I13" s="17" t="s">
        <v>19</v>
      </c>
      <c r="J13" s="16" t="s">
        <v>43</v>
      </c>
      <c r="K13" s="16" t="s">
        <v>44</v>
      </c>
      <c r="L13" s="16">
        <v>1</v>
      </c>
      <c r="M13" s="16" t="s">
        <v>45</v>
      </c>
      <c r="N13" s="16" t="s">
        <v>46</v>
      </c>
      <c r="O13" s="14" t="s">
        <v>47</v>
      </c>
    </row>
    <row r="14" ht="15.00" customHeight="true">
      <c r="A14" s="13">
        <v>5</v>
      </c>
      <c r="B14" s="14" t="s">
        <v>37</v>
      </c>
      <c r="C14" s="14" t="s">
        <v>54</v>
      </c>
      <c r="D14" s="15" t="s">
        <v>39</v>
      </c>
      <c r="E14" s="16">
        <v>3</v>
      </c>
      <c r="F14" s="14" t="s">
        <v>55</v>
      </c>
      <c r="G14" s="17" t="s">
        <v>41</v>
      </c>
      <c r="H14" s="17" t="s">
        <v>42</v>
      </c>
      <c r="I14" s="17" t="s">
        <v>19</v>
      </c>
      <c r="J14" s="16" t="s">
        <v>43</v>
      </c>
      <c r="K14" s="16" t="s">
        <v>44</v>
      </c>
      <c r="L14" s="16">
        <v>1</v>
      </c>
      <c r="M14" s="16" t="s">
        <v>45</v>
      </c>
      <c r="N14" s="16" t="s">
        <v>46</v>
      </c>
      <c r="O14" s="14" t="s">
        <v>47</v>
      </c>
    </row>
    <row r="15" ht="15.00" customHeight="true">
      <c r="A15" s="18">
        <v>6</v>
      </c>
      <c r="B15" s="14" t="s">
        <v>37</v>
      </c>
      <c r="C15" s="14" t="s">
        <v>56</v>
      </c>
      <c r="D15" s="15" t="s">
        <v>39</v>
      </c>
      <c r="E15" s="16">
        <v>3</v>
      </c>
      <c r="F15" s="14" t="s">
        <v>57</v>
      </c>
      <c r="G15" s="17" t="s">
        <v>41</v>
      </c>
      <c r="H15" s="17" t="s">
        <v>42</v>
      </c>
      <c r="I15" s="17" t="s">
        <v>19</v>
      </c>
      <c r="J15" s="16" t="s">
        <v>43</v>
      </c>
      <c r="K15" s="16" t="s">
        <v>44</v>
      </c>
      <c r="L15" s="16">
        <v>1</v>
      </c>
      <c r="M15" s="16" t="s">
        <v>45</v>
      </c>
      <c r="N15" s="16" t="s">
        <v>46</v>
      </c>
      <c r="O15" s="14" t="s">
        <v>47</v>
      </c>
    </row>
    <row r="16" ht="15.00" customHeight="true">
      <c r="A16" s="13">
        <v>7</v>
      </c>
      <c r="B16" s="14" t="s">
        <v>37</v>
      </c>
      <c r="C16" s="14" t="s">
        <v>58</v>
      </c>
      <c r="D16" s="15" t="s">
        <v>39</v>
      </c>
      <c r="E16" s="16">
        <v>3</v>
      </c>
      <c r="F16" s="14" t="s">
        <v>46</v>
      </c>
      <c r="G16" s="17" t="s">
        <v>41</v>
      </c>
      <c r="H16" s="17" t="s">
        <v>42</v>
      </c>
      <c r="I16" s="17" t="s">
        <v>19</v>
      </c>
      <c r="J16" s="16" t="s">
        <v>43</v>
      </c>
      <c r="K16" s="16" t="s">
        <v>44</v>
      </c>
      <c r="L16" s="16">
        <v>1</v>
      </c>
      <c r="M16" s="16" t="s">
        <v>45</v>
      </c>
      <c r="N16" s="16" t="s">
        <v>46</v>
      </c>
      <c r="O16" s="14" t="s">
        <v>47</v>
      </c>
    </row>
    <row r="17" ht="15.00" customHeight="true">
      <c r="A17" s="18">
        <v>10</v>
      </c>
      <c r="B17" s="14" t="s">
        <v>59</v>
      </c>
      <c r="C17" s="14" t="s">
        <v>60</v>
      </c>
      <c r="D17" s="15" t="s">
        <v>61</v>
      </c>
      <c r="E17" s="16">
        <v>3</v>
      </c>
      <c r="F17" s="14" t="s">
        <v>62</v>
      </c>
      <c r="G17" s="17" t="s">
        <v>63</v>
      </c>
      <c r="H17" s="17" t="s">
        <v>64</v>
      </c>
      <c r="I17" s="17" t="s">
        <v>65</v>
      </c>
      <c r="J17" s="16" t="s">
        <v>43</v>
      </c>
      <c r="K17" s="16" t="s">
        <v>44</v>
      </c>
      <c r="L17" s="16">
        <v>1</v>
      </c>
      <c r="M17" s="16" t="s">
        <v>45</v>
      </c>
      <c r="N17" s="16" t="s">
        <v>46</v>
      </c>
      <c r="O17" s="14" t="s">
        <v>47</v>
      </c>
    </row>
    <row r="18" ht="15.00" customHeight="true">
      <c r="A18" s="13">
        <v>11</v>
      </c>
      <c r="B18" s="14" t="s">
        <v>59</v>
      </c>
      <c r="C18" s="14" t="s">
        <v>66</v>
      </c>
      <c r="D18" s="15" t="s">
        <v>61</v>
      </c>
      <c r="E18" s="16">
        <v>3</v>
      </c>
      <c r="F18" s="14" t="s">
        <v>62</v>
      </c>
      <c r="G18" s="17" t="s">
        <v>63</v>
      </c>
      <c r="H18" s="17" t="s">
        <v>64</v>
      </c>
      <c r="I18" s="17" t="s">
        <v>67</v>
      </c>
      <c r="J18" s="16" t="s">
        <v>43</v>
      </c>
      <c r="K18" s="16" t="s">
        <v>44</v>
      </c>
      <c r="L18" s="16">
        <v>1</v>
      </c>
      <c r="M18" s="16" t="s">
        <v>45</v>
      </c>
      <c r="N18" s="16" t="s">
        <v>46</v>
      </c>
      <c r="O18" s="14" t="s">
        <v>47</v>
      </c>
    </row>
    <row r="19" ht="15.00" customHeight="true">
      <c r="A19" s="18">
        <v>12</v>
      </c>
      <c r="B19" s="14" t="s">
        <v>68</v>
      </c>
      <c r="C19" s="14" t="s">
        <v>69</v>
      </c>
      <c r="D19" s="15" t="s">
        <v>61</v>
      </c>
      <c r="E19" s="16">
        <v>3</v>
      </c>
      <c r="F19" s="14" t="s">
        <v>70</v>
      </c>
      <c r="G19" s="17" t="s">
        <v>63</v>
      </c>
      <c r="H19" s="17" t="s">
        <v>64</v>
      </c>
      <c r="I19" s="17" t="s">
        <v>71</v>
      </c>
      <c r="J19" s="16" t="s">
        <v>43</v>
      </c>
      <c r="K19" s="16" t="s">
        <v>44</v>
      </c>
      <c r="L19" s="16">
        <v>1</v>
      </c>
      <c r="M19" s="16" t="s">
        <v>45</v>
      </c>
      <c r="N19" s="16" t="s">
        <v>46</v>
      </c>
      <c r="O19" s="14" t="s">
        <v>47</v>
      </c>
    </row>
    <row r="20" ht="15.00" customHeight="true">
      <c r="A20" s="13">
        <v>13</v>
      </c>
      <c r="B20" s="14" t="s">
        <v>72</v>
      </c>
      <c r="C20" s="14" t="s">
        <v>73</v>
      </c>
      <c r="D20" s="15" t="s">
        <v>61</v>
      </c>
      <c r="E20" s="16">
        <v>3</v>
      </c>
      <c r="F20" s="14" t="s">
        <v>74</v>
      </c>
      <c r="G20" s="17" t="s">
        <v>63</v>
      </c>
      <c r="H20" s="17" t="s">
        <v>64</v>
      </c>
      <c r="I20" s="17" t="s">
        <v>75</v>
      </c>
      <c r="J20" s="16" t="s">
        <v>43</v>
      </c>
      <c r="K20" s="16" t="s">
        <v>44</v>
      </c>
      <c r="L20" s="16">
        <v>1</v>
      </c>
      <c r="M20" s="16" t="s">
        <v>45</v>
      </c>
      <c r="N20" s="16" t="s">
        <v>46</v>
      </c>
      <c r="O20" s="14" t="s">
        <v>47</v>
      </c>
    </row>
    <row r="21" ht="15.00" customHeight="true">
      <c r="A21" s="18">
        <v>14</v>
      </c>
      <c r="B21" s="14" t="s">
        <v>76</v>
      </c>
      <c r="C21" s="14" t="s">
        <v>77</v>
      </c>
      <c r="D21" s="15" t="s">
        <v>61</v>
      </c>
      <c r="E21" s="16">
        <v>3</v>
      </c>
      <c r="F21" s="14" t="s">
        <v>70</v>
      </c>
      <c r="G21" s="17" t="s">
        <v>63</v>
      </c>
      <c r="H21" s="17" t="s">
        <v>64</v>
      </c>
      <c r="I21" s="17" t="s">
        <v>78</v>
      </c>
      <c r="J21" s="16" t="s">
        <v>43</v>
      </c>
      <c r="K21" s="16" t="s">
        <v>44</v>
      </c>
      <c r="L21" s="16">
        <v>1</v>
      </c>
      <c r="M21" s="16" t="s">
        <v>45</v>
      </c>
      <c r="N21" s="16" t="s">
        <v>46</v>
      </c>
      <c r="O21" s="14" t="s">
        <v>47</v>
      </c>
    </row>
    <row r="22" ht="15.00" customHeight="true">
      <c r="A22" s="13">
        <v>15</v>
      </c>
      <c r="B22" s="14" t="s">
        <v>76</v>
      </c>
      <c r="C22" s="14" t="s">
        <v>79</v>
      </c>
      <c r="D22" s="15" t="s">
        <v>61</v>
      </c>
      <c r="E22" s="16">
        <v>3</v>
      </c>
      <c r="F22" s="14" t="s">
        <v>70</v>
      </c>
      <c r="G22" s="17" t="s">
        <v>63</v>
      </c>
      <c r="H22" s="17" t="s">
        <v>64</v>
      </c>
      <c r="I22" s="17" t="s">
        <v>80</v>
      </c>
      <c r="J22" s="16" t="s">
        <v>43</v>
      </c>
      <c r="K22" s="16" t="s">
        <v>44</v>
      </c>
      <c r="L22" s="16">
        <v>1</v>
      </c>
      <c r="M22" s="16" t="s">
        <v>45</v>
      </c>
      <c r="N22" s="16" t="s">
        <v>46</v>
      </c>
      <c r="O22" s="14" t="s">
        <v>47</v>
      </c>
    </row>
    <row r="23" ht="15.00" customHeight="true">
      <c r="A23" s="18">
        <v>16</v>
      </c>
      <c r="B23" s="14" t="s">
        <v>76</v>
      </c>
      <c r="C23" s="14" t="s">
        <v>81</v>
      </c>
      <c r="D23" s="15" t="s">
        <v>61</v>
      </c>
      <c r="E23" s="16">
        <v>3</v>
      </c>
      <c r="F23" s="14" t="s">
        <v>62</v>
      </c>
      <c r="G23" s="17" t="s">
        <v>63</v>
      </c>
      <c r="H23" s="17" t="s">
        <v>64</v>
      </c>
      <c r="I23" s="17" t="s">
        <v>82</v>
      </c>
      <c r="J23" s="16" t="s">
        <v>43</v>
      </c>
      <c r="K23" s="16" t="s">
        <v>44</v>
      </c>
      <c r="L23" s="16">
        <v>1</v>
      </c>
      <c r="M23" s="16" t="s">
        <v>45</v>
      </c>
      <c r="N23" s="16" t="s">
        <v>46</v>
      </c>
      <c r="O23" s="14" t="s">
        <v>47</v>
      </c>
    </row>
    <row r="24" ht="15.00" customHeight="true">
      <c r="A24" s="13">
        <v>17</v>
      </c>
      <c r="B24" s="14" t="s">
        <v>76</v>
      </c>
      <c r="C24" s="14" t="s">
        <v>83</v>
      </c>
      <c r="D24" s="15" t="s">
        <v>61</v>
      </c>
      <c r="E24" s="16">
        <v>3</v>
      </c>
      <c r="F24" s="14" t="s">
        <v>74</v>
      </c>
      <c r="G24" s="17" t="s">
        <v>63</v>
      </c>
      <c r="H24" s="17" t="s">
        <v>64</v>
      </c>
      <c r="I24" s="17" t="s">
        <v>84</v>
      </c>
      <c r="J24" s="16" t="s">
        <v>43</v>
      </c>
      <c r="K24" s="16" t="s">
        <v>44</v>
      </c>
      <c r="L24" s="16">
        <v>1</v>
      </c>
      <c r="M24" s="16" t="s">
        <v>45</v>
      </c>
      <c r="N24" s="16" t="s">
        <v>46</v>
      </c>
      <c r="O24" s="14" t="s">
        <v>47</v>
      </c>
    </row>
    <row r="25" ht="15.00" customHeight="true">
      <c r="A25" s="18">
        <v>18</v>
      </c>
      <c r="B25" s="14" t="s">
        <v>76</v>
      </c>
      <c r="C25" s="14" t="s">
        <v>85</v>
      </c>
      <c r="D25" s="15" t="s">
        <v>61</v>
      </c>
      <c r="E25" s="16">
        <v>3</v>
      </c>
      <c r="F25" s="14" t="s">
        <v>86</v>
      </c>
      <c r="G25" s="17" t="s">
        <v>63</v>
      </c>
      <c r="H25" s="17" t="s">
        <v>64</v>
      </c>
      <c r="I25" s="17" t="s">
        <v>87</v>
      </c>
      <c r="J25" s="16" t="s">
        <v>43</v>
      </c>
      <c r="K25" s="16" t="s">
        <v>44</v>
      </c>
      <c r="L25" s="16">
        <v>1</v>
      </c>
      <c r="M25" s="16" t="s">
        <v>45</v>
      </c>
      <c r="N25" s="16" t="s">
        <v>46</v>
      </c>
      <c r="O25" s="14" t="s">
        <v>88</v>
      </c>
    </row>
    <row r="26" ht="15.00" customHeight="true">
      <c r="A26" s="13">
        <v>19</v>
      </c>
      <c r="B26" s="14" t="s">
        <v>76</v>
      </c>
      <c r="C26" s="14" t="s">
        <v>89</v>
      </c>
      <c r="D26" s="15" t="s">
        <v>61</v>
      </c>
      <c r="E26" s="16">
        <v>3</v>
      </c>
      <c r="F26" s="14" t="s">
        <v>90</v>
      </c>
      <c r="G26" s="17" t="s">
        <v>63</v>
      </c>
      <c r="H26" s="17" t="s">
        <v>64</v>
      </c>
      <c r="I26" s="17" t="s">
        <v>91</v>
      </c>
      <c r="J26" s="16" t="s">
        <v>43</v>
      </c>
      <c r="K26" s="16" t="s">
        <v>44</v>
      </c>
      <c r="L26" s="16">
        <v>1</v>
      </c>
      <c r="M26" s="16" t="s">
        <v>45</v>
      </c>
      <c r="N26" s="16" t="s">
        <v>46</v>
      </c>
      <c r="O26" s="14" t="s">
        <v>47</v>
      </c>
    </row>
    <row r="27" ht="15.00" customHeight="true">
      <c r="A27" s="18">
        <v>20</v>
      </c>
      <c r="B27" s="14" t="s">
        <v>76</v>
      </c>
      <c r="C27" s="14" t="s">
        <v>92</v>
      </c>
      <c r="D27" s="15" t="s">
        <v>61</v>
      </c>
      <c r="E27" s="16">
        <v>3</v>
      </c>
      <c r="F27" s="14" t="s">
        <v>93</v>
      </c>
      <c r="G27" s="17" t="s">
        <v>63</v>
      </c>
      <c r="H27" s="17" t="s">
        <v>64</v>
      </c>
      <c r="I27" s="17" t="s">
        <v>94</v>
      </c>
      <c r="J27" s="16" t="s">
        <v>43</v>
      </c>
      <c r="K27" s="16" t="s">
        <v>44</v>
      </c>
      <c r="L27" s="16">
        <v>1</v>
      </c>
      <c r="M27" s="16" t="s">
        <v>45</v>
      </c>
      <c r="N27" s="16" t="s">
        <v>46</v>
      </c>
      <c r="O27" s="14" t="s">
        <v>47</v>
      </c>
    </row>
    <row r="28" ht="15.00" customHeight="true">
      <c r="A28" s="18">
        <v>21</v>
      </c>
      <c r="B28" s="14" t="s">
        <v>95</v>
      </c>
      <c r="C28" s="14" t="s">
        <v>96</v>
      </c>
      <c r="D28" s="19" t="s">
        <v>97</v>
      </c>
      <c r="E28" s="16">
        <v>3</v>
      </c>
      <c r="F28" s="14" t="s">
        <v>98</v>
      </c>
      <c r="G28" s="17">
        <v>46086</v>
      </c>
      <c r="H28" s="17">
        <v>46270</v>
      </c>
      <c r="I28" s="17">
        <v>46271</v>
      </c>
      <c r="J28" s="16" t="s">
        <v>99</v>
      </c>
      <c r="K28" s="16" t="s">
        <v>44</v>
      </c>
      <c r="L28" s="16">
        <v>1</v>
      </c>
      <c r="M28" s="16" t="s">
        <v>45</v>
      </c>
      <c r="N28" s="16" t="s">
        <v>46</v>
      </c>
      <c r="O28" s="14" t="s">
        <v>100</v>
      </c>
    </row>
    <row r="29" ht="15.00" customHeight="true">
      <c r="A29" s="13">
        <v>22</v>
      </c>
      <c r="B29" s="14" t="s">
        <v>101</v>
      </c>
      <c r="C29" s="14" t="s">
        <v>102</v>
      </c>
      <c r="D29" s="19" t="s">
        <v>97</v>
      </c>
      <c r="E29" s="16">
        <v>3</v>
      </c>
      <c r="F29" s="14" t="s">
        <v>57</v>
      </c>
      <c r="G29" s="17">
        <v>46086</v>
      </c>
      <c r="H29" s="17">
        <v>46270</v>
      </c>
      <c r="I29" s="17">
        <v>46271</v>
      </c>
      <c r="J29" s="16" t="s">
        <v>99</v>
      </c>
      <c r="K29" s="20" t="s">
        <v>44</v>
      </c>
      <c r="L29" s="16">
        <v>1</v>
      </c>
      <c r="M29" s="16" t="s">
        <v>45</v>
      </c>
      <c r="N29" s="16" t="s">
        <v>46</v>
      </c>
      <c r="O29" s="14" t="s">
        <v>47</v>
      </c>
    </row>
    <row r="30" ht="15.00" customHeight="true">
      <c r="A30" s="18">
        <v>23</v>
      </c>
      <c r="B30" s="14" t="s">
        <v>101</v>
      </c>
      <c r="C30" s="14" t="s">
        <v>103</v>
      </c>
      <c r="D30" s="19" t="s">
        <v>97</v>
      </c>
      <c r="E30" s="16">
        <v>3</v>
      </c>
      <c r="F30" s="14" t="s">
        <v>57</v>
      </c>
      <c r="G30" s="17">
        <v>46086</v>
      </c>
      <c r="H30" s="17">
        <v>46270</v>
      </c>
      <c r="I30" s="17">
        <v>46271</v>
      </c>
      <c r="J30" s="16" t="s">
        <v>99</v>
      </c>
      <c r="K30" s="16" t="s">
        <v>44</v>
      </c>
      <c r="L30" s="16">
        <v>1</v>
      </c>
      <c r="M30" s="16" t="s">
        <v>45</v>
      </c>
      <c r="N30" s="16" t="s">
        <v>46</v>
      </c>
      <c r="O30" s="14" t="s">
        <v>47</v>
      </c>
    </row>
    <row r="31" ht="15.00" customHeight="true">
      <c r="A31" s="21">
        <v>24</v>
      </c>
      <c r="B31" s="22" t="s">
        <v>104</v>
      </c>
      <c r="C31" s="22" t="s">
        <v>105</v>
      </c>
      <c r="D31" s="22"/>
      <c r="E31" s="23">
        <v>3</v>
      </c>
      <c r="F31" s="22" t="s">
        <v>106</v>
      </c>
      <c r="G31" s="24">
        <v>46086</v>
      </c>
      <c r="H31" s="24">
        <v>46270</v>
      </c>
      <c r="I31" s="24"/>
      <c r="J31" s="23" t="s">
        <v>99</v>
      </c>
      <c r="K31" s="23" t="s">
        <v>44</v>
      </c>
      <c r="L31" s="23">
        <v>1</v>
      </c>
      <c r="M31" s="23" t="s">
        <v>45</v>
      </c>
      <c r="N31" s="23" t="s">
        <v>46</v>
      </c>
      <c r="O31" s="22" t="s">
        <v>107</v>
      </c>
    </row>
    <row r="32" ht="15.00" customHeight="true">
      <c r="A32" s="25">
        <v>25</v>
      </c>
      <c r="B32" s="26" t="s">
        <v>104</v>
      </c>
      <c r="C32" s="26" t="s">
        <v>105</v>
      </c>
      <c r="D32" s="27" t="s">
        <v>108</v>
      </c>
      <c r="E32" s="25">
        <v>3</v>
      </c>
      <c r="F32" s="26" t="s">
        <v>57</v>
      </c>
      <c r="G32" s="17">
        <v>46270</v>
      </c>
      <c r="H32" s="17" t="s">
        <v>109</v>
      </c>
      <c r="I32" s="17"/>
      <c r="J32" s="25" t="s">
        <v>99</v>
      </c>
      <c r="K32" s="25" t="s">
        <v>44</v>
      </c>
      <c r="L32" s="25">
        <v>1</v>
      </c>
      <c r="M32" s="25"/>
      <c r="N32" s="25"/>
      <c r="O32" s="26"/>
    </row>
    <row r="33" ht="15.00" customHeight="true">
      <c r="A33" s="13">
        <v>26</v>
      </c>
      <c r="B33" s="28" t="s">
        <v>110</v>
      </c>
      <c r="C33" s="28" t="s">
        <v>111</v>
      </c>
      <c r="D33" s="29" t="s">
        <v>108</v>
      </c>
      <c r="E33" s="30">
        <v>3</v>
      </c>
      <c r="F33" s="14" t="s">
        <v>98</v>
      </c>
      <c r="G33" s="30" t="s">
        <v>112</v>
      </c>
      <c r="H33" s="30" t="s">
        <v>113</v>
      </c>
      <c r="I33" s="17"/>
      <c r="J33" s="25"/>
      <c r="K33" s="25"/>
      <c r="L33" s="25"/>
      <c r="M33" s="13"/>
      <c r="N33" s="13"/>
      <c r="O33" s="31"/>
      <c r="P33" s="32"/>
    </row>
    <row r="34" ht="15.00" customHeight="true">
      <c r="A34" s="18">
        <v>27</v>
      </c>
      <c r="B34" s="28" t="s">
        <v>110</v>
      </c>
      <c r="C34" s="33" t="s">
        <v>114</v>
      </c>
      <c r="D34" s="27" t="s">
        <v>108</v>
      </c>
      <c r="E34" s="34">
        <v>3</v>
      </c>
      <c r="F34" s="14" t="s">
        <v>98</v>
      </c>
      <c r="G34" s="34" t="s">
        <v>112</v>
      </c>
      <c r="H34" s="34" t="s">
        <v>113</v>
      </c>
      <c r="I34" s="13"/>
      <c r="J34" s="13"/>
      <c r="K34" s="13"/>
      <c r="L34" s="13"/>
      <c r="M34" s="13"/>
      <c r="N34" s="13"/>
      <c r="O34" s="31"/>
      <c r="P34" s="32"/>
    </row>
    <row r="35" ht="15.00" customHeight="true">
      <c r="A35" s="13">
        <v>28</v>
      </c>
      <c r="B35" s="28" t="s">
        <v>110</v>
      </c>
      <c r="C35" s="28" t="s">
        <v>115</v>
      </c>
      <c r="D35" s="27" t="s">
        <v>108</v>
      </c>
      <c r="E35" s="30">
        <v>3</v>
      </c>
      <c r="F35" s="14" t="s">
        <v>98</v>
      </c>
      <c r="G35" s="30" t="s">
        <v>116</v>
      </c>
      <c r="H35" s="30" t="s">
        <v>117</v>
      </c>
      <c r="I35" s="13"/>
      <c r="J35" s="13"/>
      <c r="K35" s="13"/>
      <c r="L35" s="13"/>
      <c r="M35" s="13"/>
      <c r="N35" s="13"/>
      <c r="O35" s="31"/>
      <c r="P35" s="32"/>
    </row>
    <row r="36" ht="15.00" customHeight="true">
      <c r="A36" s="18">
        <v>29</v>
      </c>
      <c r="B36" s="28" t="s">
        <v>110</v>
      </c>
      <c r="C36" s="33" t="s">
        <v>118</v>
      </c>
      <c r="D36" s="29" t="s">
        <v>108</v>
      </c>
      <c r="E36" s="34">
        <v>3</v>
      </c>
      <c r="F36" s="14" t="s">
        <v>98</v>
      </c>
      <c r="G36" s="34" t="s">
        <v>116</v>
      </c>
      <c r="H36" s="34" t="s">
        <v>117</v>
      </c>
      <c r="I36" s="13"/>
      <c r="J36" s="13"/>
      <c r="K36" s="13"/>
      <c r="L36" s="13"/>
      <c r="M36" s="13"/>
      <c r="N36" s="13"/>
      <c r="O36" s="31"/>
      <c r="P36" s="32"/>
    </row>
    <row r="37" ht="15.00" customHeight="true">
      <c r="A37" s="18">
        <v>30</v>
      </c>
      <c r="B37" s="28" t="s">
        <v>110</v>
      </c>
      <c r="C37" s="28" t="s">
        <v>119</v>
      </c>
      <c r="D37" s="27" t="s">
        <v>108</v>
      </c>
      <c r="E37" s="30">
        <v>3</v>
      </c>
      <c r="F37" s="14" t="s">
        <v>98</v>
      </c>
      <c r="G37" s="30" t="s">
        <v>117</v>
      </c>
      <c r="H37" s="30">
        <v>46028</v>
      </c>
      <c r="I37" s="13"/>
      <c r="J37" s="13"/>
      <c r="K37" s="13"/>
      <c r="L37" s="13"/>
      <c r="M37" s="13"/>
      <c r="N37" s="13"/>
      <c r="O37" s="31"/>
      <c r="P37" s="32"/>
    </row>
    <row r="38" ht="15.00" customHeight="true">
      <c r="A38" s="13">
        <v>31</v>
      </c>
      <c r="B38" s="28" t="s">
        <v>110</v>
      </c>
      <c r="C38" s="33" t="s">
        <v>120</v>
      </c>
      <c r="D38" s="29" t="s">
        <v>108</v>
      </c>
      <c r="E38" s="34">
        <v>3</v>
      </c>
      <c r="F38" s="14" t="s">
        <v>98</v>
      </c>
      <c r="G38" s="34" t="s">
        <v>117</v>
      </c>
      <c r="H38" s="34">
        <v>46028</v>
      </c>
      <c r="I38" s="13"/>
      <c r="J38" s="13"/>
      <c r="K38" s="13"/>
      <c r="L38" s="13"/>
      <c r="M38" s="13"/>
      <c r="N38" s="13"/>
      <c r="O38" s="31"/>
      <c r="P38" s="32"/>
    </row>
    <row r="39" ht="15.00" customHeight="true">
      <c r="A39" s="18">
        <v>32</v>
      </c>
      <c r="B39" s="28" t="s">
        <v>110</v>
      </c>
      <c r="C39" s="28" t="s">
        <v>121</v>
      </c>
      <c r="D39" s="27" t="s">
        <v>108</v>
      </c>
      <c r="E39" s="30">
        <v>3</v>
      </c>
      <c r="F39" s="14" t="s">
        <v>98</v>
      </c>
      <c r="G39" s="30">
        <v>46028</v>
      </c>
      <c r="H39" s="30">
        <v>46240</v>
      </c>
      <c r="I39" s="13"/>
      <c r="J39" s="13"/>
      <c r="K39" s="13"/>
      <c r="L39" s="13"/>
      <c r="M39" s="13"/>
      <c r="N39" s="13"/>
      <c r="O39" s="31"/>
      <c r="P39" s="32"/>
    </row>
    <row r="40" ht="15.00" customHeight="true">
      <c r="A40" s="13">
        <v>33</v>
      </c>
      <c r="B40" s="28" t="s">
        <v>110</v>
      </c>
      <c r="C40" s="33" t="s">
        <v>122</v>
      </c>
      <c r="D40" s="29" t="s">
        <v>108</v>
      </c>
      <c r="E40" s="34">
        <v>3</v>
      </c>
      <c r="F40" s="14" t="s">
        <v>98</v>
      </c>
      <c r="G40" s="34">
        <v>46028</v>
      </c>
      <c r="H40" s="34">
        <v>46240</v>
      </c>
      <c r="I40" s="13"/>
      <c r="J40" s="13"/>
      <c r="K40" s="13"/>
      <c r="L40" s="13"/>
      <c r="M40" s="13"/>
      <c r="N40" s="13"/>
      <c r="O40" s="31"/>
      <c r="P40" s="32"/>
    </row>
    <row r="41" ht="15.00" customHeight="true">
      <c r="A41" s="18">
        <v>34</v>
      </c>
      <c r="B41" s="28" t="s">
        <v>123</v>
      </c>
      <c r="C41" s="28" t="s">
        <v>124</v>
      </c>
      <c r="D41" s="27" t="s">
        <v>108</v>
      </c>
      <c r="E41" s="30">
        <v>3</v>
      </c>
      <c r="F41" s="28" t="s">
        <v>125</v>
      </c>
      <c r="G41" s="30">
        <v>46270</v>
      </c>
      <c r="H41" s="30" t="s">
        <v>126</v>
      </c>
      <c r="I41" s="13"/>
      <c r="J41" s="13"/>
      <c r="K41" s="13"/>
      <c r="L41" s="13"/>
      <c r="M41" s="13"/>
      <c r="N41" s="13"/>
      <c r="O41" s="31"/>
      <c r="P41" s="32"/>
    </row>
    <row r="42" ht="15.00" customHeight="true">
      <c r="A42" s="13">
        <v>35</v>
      </c>
      <c r="B42" s="35" t="s">
        <v>127</v>
      </c>
      <c r="C42" s="35" t="s">
        <v>128</v>
      </c>
      <c r="D42" s="29" t="s">
        <v>108</v>
      </c>
      <c r="E42" s="36">
        <v>3</v>
      </c>
      <c r="F42" s="35" t="s">
        <v>129</v>
      </c>
      <c r="G42" s="36">
        <v>46240</v>
      </c>
      <c r="H42" s="36">
        <v>46362</v>
      </c>
      <c r="I42" s="35" t="s">
        <v>130</v>
      </c>
      <c r="J42" s="35" t="s">
        <v>131</v>
      </c>
      <c r="K42" s="35" t="s">
        <v>44</v>
      </c>
      <c r="L42" s="36">
        <v>0</v>
      </c>
      <c r="M42" s="35" t="s">
        <v>132</v>
      </c>
      <c r="N42" s="35" t="s">
        <v>130</v>
      </c>
      <c r="O42" s="37" t="s">
        <v>133</v>
      </c>
      <c r="P42" s="38"/>
    </row>
    <row r="43" ht="15.00" customHeight="true">
      <c r="A43" s="18">
        <v>36</v>
      </c>
      <c r="B43" s="35" t="s">
        <v>134</v>
      </c>
      <c r="C43" s="35" t="s">
        <v>135</v>
      </c>
      <c r="D43" s="27" t="s">
        <v>108</v>
      </c>
      <c r="E43" s="36">
        <v>3</v>
      </c>
      <c r="F43" s="35" t="s">
        <v>129</v>
      </c>
      <c r="G43" s="36">
        <v>46240</v>
      </c>
      <c r="H43" s="36" t="s">
        <v>136</v>
      </c>
      <c r="I43" s="35" t="s">
        <v>130</v>
      </c>
      <c r="J43" s="35" t="s">
        <v>43</v>
      </c>
      <c r="K43" s="35" t="s">
        <v>44</v>
      </c>
      <c r="L43" s="36">
        <v>0</v>
      </c>
      <c r="M43" s="35" t="s">
        <v>132</v>
      </c>
      <c r="N43" s="35" t="s">
        <v>130</v>
      </c>
      <c r="O43" s="37" t="s">
        <v>137</v>
      </c>
      <c r="P43" s="38"/>
    </row>
    <row r="44" ht="15.00" customHeight="true">
      <c r="A44" s="13">
        <v>37</v>
      </c>
      <c r="B44" s="35" t="s">
        <v>138</v>
      </c>
      <c r="C44" s="35" t="s">
        <v>139</v>
      </c>
      <c r="D44" s="29" t="s">
        <v>108</v>
      </c>
      <c r="E44" s="36">
        <v>3</v>
      </c>
      <c r="F44" s="35" t="s">
        <v>129</v>
      </c>
      <c r="G44" s="36" t="s">
        <v>136</v>
      </c>
      <c r="H44" s="36" t="s">
        <v>140</v>
      </c>
      <c r="I44" s="35" t="s">
        <v>130</v>
      </c>
      <c r="J44" s="35" t="s">
        <v>43</v>
      </c>
      <c r="K44" s="35" t="s">
        <v>44</v>
      </c>
      <c r="L44" s="36">
        <v>0</v>
      </c>
      <c r="M44" s="35" t="s">
        <v>132</v>
      </c>
      <c r="N44" s="35" t="s">
        <v>130</v>
      </c>
      <c r="O44" s="37" t="s">
        <v>141</v>
      </c>
      <c r="P44" s="38"/>
    </row>
    <row r="45" ht="15.00" customHeight="true">
      <c r="A45" s="18">
        <v>38</v>
      </c>
      <c r="B45" s="35" t="s">
        <v>142</v>
      </c>
      <c r="C45" s="35" t="s">
        <v>143</v>
      </c>
      <c r="D45" s="27" t="s">
        <v>108</v>
      </c>
      <c r="E45" s="36">
        <v>3</v>
      </c>
      <c r="F45" s="35" t="s">
        <v>129</v>
      </c>
      <c r="G45" s="36" t="s">
        <v>140</v>
      </c>
      <c r="H45" s="36" t="s">
        <v>144</v>
      </c>
      <c r="I45" s="35" t="s">
        <v>130</v>
      </c>
      <c r="J45" s="35" t="s">
        <v>43</v>
      </c>
      <c r="K45" s="35" t="s">
        <v>44</v>
      </c>
      <c r="L45" s="36">
        <v>0</v>
      </c>
      <c r="M45" s="35" t="s">
        <v>132</v>
      </c>
      <c r="N45" s="35" t="s">
        <v>130</v>
      </c>
      <c r="O45" s="37" t="s">
        <v>145</v>
      </c>
      <c r="P45" s="38"/>
    </row>
    <row r="46" ht="15.00" customHeight="true">
      <c r="A46" s="18">
        <v>39</v>
      </c>
      <c r="B46" s="35" t="s">
        <v>146</v>
      </c>
      <c r="C46" s="35" t="s">
        <v>147</v>
      </c>
      <c r="D46" s="29" t="s">
        <v>108</v>
      </c>
      <c r="E46" s="36">
        <v>3</v>
      </c>
      <c r="F46" s="35" t="s">
        <v>129</v>
      </c>
      <c r="G46" s="36" t="s">
        <v>144</v>
      </c>
      <c r="H46" s="36">
        <v>46180</v>
      </c>
      <c r="I46" s="35" t="s">
        <v>130</v>
      </c>
      <c r="J46" s="35" t="s">
        <v>148</v>
      </c>
      <c r="K46" s="35" t="s">
        <v>44</v>
      </c>
      <c r="L46" s="36">
        <v>0</v>
      </c>
      <c r="M46" s="35" t="s">
        <v>132</v>
      </c>
      <c r="N46" s="35" t="s">
        <v>130</v>
      </c>
      <c r="O46" s="37" t="s">
        <v>149</v>
      </c>
      <c r="P46" s="38"/>
    </row>
    <row r="47" ht="15.00" customHeight="true">
      <c r="A47" s="13">
        <v>40</v>
      </c>
      <c r="B47" s="35" t="s">
        <v>150</v>
      </c>
      <c r="C47" s="35" t="s">
        <v>151</v>
      </c>
      <c r="D47" s="27" t="s">
        <v>108</v>
      </c>
      <c r="E47" s="36">
        <v>3</v>
      </c>
      <c r="F47" s="35" t="s">
        <v>129</v>
      </c>
      <c r="G47" s="36">
        <v>46180</v>
      </c>
      <c r="H47" s="36" t="s">
        <v>152</v>
      </c>
      <c r="I47" s="35" t="s">
        <v>130</v>
      </c>
      <c r="J47" s="35" t="s">
        <v>148</v>
      </c>
      <c r="K47" s="35" t="s">
        <v>44</v>
      </c>
      <c r="L47" s="36">
        <v>0</v>
      </c>
      <c r="M47" s="35" t="s">
        <v>132</v>
      </c>
      <c r="N47" s="35" t="s">
        <v>130</v>
      </c>
      <c r="O47" s="37" t="s">
        <v>153</v>
      </c>
      <c r="P47" s="38"/>
    </row>
    <row r="48" ht="15.00" customHeight="true">
      <c r="A48" s="18">
        <v>41</v>
      </c>
      <c r="B48" s="31"/>
      <c r="C48" s="31"/>
      <c r="D48" s="29" t="s">
        <v>108</v>
      </c>
      <c r="E48" s="13"/>
      <c r="F48" s="31"/>
      <c r="G48" s="13"/>
      <c r="H48" s="13"/>
      <c r="I48" s="13"/>
      <c r="J48" s="13"/>
      <c r="K48" s="13"/>
      <c r="L48" s="13"/>
      <c r="M48" s="13"/>
      <c r="N48" s="13"/>
      <c r="O48" s="31"/>
      <c r="P48" s="32"/>
    </row>
    <row r="49" ht="15.00" customHeight="true">
      <c r="A49" s="13">
        <v>42</v>
      </c>
      <c r="B49" s="31"/>
      <c r="C49" s="31"/>
      <c r="D49" s="31"/>
      <c r="E49" s="13"/>
      <c r="F49" s="31"/>
      <c r="G49" s="13"/>
      <c r="H49" s="13"/>
      <c r="I49" s="13"/>
      <c r="J49" s="13"/>
      <c r="K49" s="13"/>
      <c r="L49" s="13"/>
      <c r="M49" s="13"/>
      <c r="N49" s="13"/>
      <c r="O49" s="31"/>
      <c r="P49" s="32"/>
    </row>
    <row r="50" ht="15.00" customHeight="true">
      <c r="A50" s="39">
        <v>43</v>
      </c>
      <c r="B50" s="40"/>
      <c r="C50" s="40"/>
      <c r="D50" s="40"/>
      <c r="E50" s="41"/>
      <c r="F50" s="40"/>
      <c r="G50" s="41"/>
      <c r="H50" s="41"/>
      <c r="I50" s="41"/>
      <c r="J50" s="41"/>
      <c r="K50" s="41"/>
      <c r="L50" s="41"/>
      <c r="M50" s="41"/>
      <c r="N50" s="41"/>
      <c r="O50" s="40"/>
    </row>
    <row r="51" ht="15.00" customHeight="true">
      <c r="A51" s="7">
        <v>44</v>
      </c>
      <c r="B51" s="31"/>
      <c r="C51" s="31"/>
      <c r="D51" s="31"/>
      <c r="E51" s="13"/>
      <c r="F51" s="31"/>
      <c r="G51" s="13"/>
      <c r="H51" s="13"/>
      <c r="I51" s="13"/>
      <c r="J51" s="13"/>
      <c r="K51" s="13"/>
      <c r="L51" s="13"/>
      <c r="M51" s="13"/>
      <c r="N51" s="13"/>
      <c r="O51" s="31"/>
    </row>
    <row r="52" ht="15.00" customHeight="true">
      <c r="A52" s="5">
        <v>45</v>
      </c>
      <c r="B52" s="31"/>
      <c r="C52" s="31"/>
      <c r="D52" s="31"/>
      <c r="E52" s="13"/>
      <c r="F52" s="31"/>
      <c r="G52" s="13"/>
      <c r="H52" s="13"/>
      <c r="I52" s="13"/>
      <c r="J52" s="13"/>
      <c r="K52" s="13"/>
      <c r="L52" s="13"/>
      <c r="M52" s="13"/>
      <c r="N52" s="13"/>
      <c r="O52" s="31"/>
    </row>
    <row r="53" ht="15.00" customHeight="true">
      <c r="A53" s="7">
        <v>46</v>
      </c>
      <c r="B53" s="31"/>
      <c r="C53" s="31"/>
      <c r="D53" s="31"/>
      <c r="E53" s="13"/>
      <c r="F53" s="31"/>
      <c r="G53" s="13"/>
      <c r="H53" s="13"/>
      <c r="I53" s="13"/>
      <c r="J53" s="13"/>
      <c r="K53" s="13"/>
      <c r="L53" s="13"/>
      <c r="M53" s="13"/>
      <c r="N53" s="13"/>
      <c r="O53" s="31"/>
    </row>
    <row r="54" ht="15.00" customHeight="true">
      <c r="A54" s="5">
        <v>47</v>
      </c>
      <c r="B54" s="31"/>
      <c r="C54" s="31"/>
      <c r="D54" s="31"/>
      <c r="E54" s="13"/>
      <c r="F54" s="31"/>
      <c r="G54" s="13"/>
      <c r="H54" s="13"/>
      <c r="I54" s="13"/>
      <c r="J54" s="13"/>
      <c r="K54" s="13"/>
      <c r="L54" s="13"/>
      <c r="M54" s="13"/>
      <c r="N54" s="13"/>
      <c r="O54" s="31"/>
    </row>
    <row r="55" ht="15.00" customHeight="true">
      <c r="A55" s="7">
        <v>48</v>
      </c>
      <c r="B55" s="31"/>
      <c r="C55" s="31"/>
      <c r="D55" s="31"/>
      <c r="E55" s="13"/>
      <c r="F55" s="31"/>
      <c r="G55" s="13"/>
      <c r="H55" s="13"/>
      <c r="I55" s="13"/>
      <c r="J55" s="13"/>
      <c r="K55" s="13"/>
      <c r="L55" s="13"/>
      <c r="M55" s="13"/>
      <c r="N55" s="13"/>
      <c r="O55" s="31"/>
    </row>
    <row r="56" ht="15.00" customHeight="true">
      <c r="A56" s="5">
        <v>49</v>
      </c>
      <c r="B56" s="31"/>
      <c r="C56" s="31"/>
      <c r="D56" s="31"/>
      <c r="E56" s="13"/>
      <c r="F56" s="31"/>
      <c r="G56" s="13"/>
      <c r="H56" s="13"/>
      <c r="I56" s="13"/>
      <c r="J56" s="13"/>
      <c r="K56" s="13"/>
      <c r="L56" s="13"/>
      <c r="M56" s="13"/>
      <c r="N56" s="13"/>
      <c r="O56" s="31"/>
    </row>
    <row r="57" ht="15.00" customHeight="true">
      <c r="A57" s="5">
        <v>50</v>
      </c>
      <c r="B57" s="31"/>
      <c r="C57" s="31"/>
      <c r="D57" s="31"/>
      <c r="E57" s="13"/>
      <c r="F57" s="31"/>
      <c r="G57" s="13"/>
      <c r="H57" s="13"/>
      <c r="I57" s="13"/>
      <c r="J57" s="13"/>
      <c r="K57" s="13"/>
      <c r="L57" s="13"/>
      <c r="M57" s="13"/>
      <c r="N57" s="13"/>
      <c r="O57" s="31"/>
    </row>
    <row r="58" ht="15.00" customHeight="true">
      <c r="A58" s="7">
        <v>51</v>
      </c>
      <c r="B58" s="31"/>
      <c r="C58" s="31"/>
      <c r="D58" s="31"/>
      <c r="E58" s="13"/>
      <c r="F58" s="31"/>
      <c r="G58" s="13"/>
      <c r="H58" s="13"/>
      <c r="I58" s="13"/>
      <c r="J58" s="13"/>
      <c r="K58" s="13"/>
      <c r="L58" s="13"/>
      <c r="M58" s="13"/>
      <c r="N58" s="13"/>
      <c r="O58" s="31"/>
    </row>
    <row r="59" ht="15.00" customHeight="true">
      <c r="A59" s="5">
        <v>52</v>
      </c>
      <c r="B59" s="31"/>
      <c r="C59" s="31"/>
      <c r="D59" s="31"/>
      <c r="E59" s="13"/>
      <c r="F59" s="31"/>
      <c r="G59" s="13"/>
      <c r="H59" s="13"/>
      <c r="I59" s="13"/>
      <c r="J59" s="13"/>
      <c r="K59" s="13"/>
      <c r="L59" s="13"/>
      <c r="M59" s="13"/>
      <c r="N59" s="13"/>
      <c r="O59" s="31"/>
    </row>
    <row r="60" ht="15.00" customHeight="true">
      <c r="A60" s="7">
        <v>53</v>
      </c>
      <c r="B60" s="31"/>
      <c r="C60" s="31"/>
      <c r="D60" s="31"/>
      <c r="E60" s="13"/>
      <c r="F60" s="31"/>
      <c r="G60" s="13"/>
      <c r="H60" s="13"/>
      <c r="I60" s="13"/>
      <c r="J60" s="13"/>
      <c r="K60" s="13"/>
      <c r="L60" s="13"/>
      <c r="M60" s="13"/>
      <c r="N60" s="13"/>
      <c r="O60" s="31"/>
    </row>
    <row r="61" ht="15.00" customHeight="true">
      <c r="A61" s="5">
        <v>54</v>
      </c>
      <c r="B61" s="31"/>
      <c r="C61" s="31"/>
      <c r="D61" s="31"/>
      <c r="E61" s="13"/>
      <c r="F61" s="31"/>
      <c r="G61" s="13"/>
      <c r="H61" s="13"/>
      <c r="I61" s="13"/>
      <c r="J61" s="13"/>
      <c r="K61" s="13"/>
      <c r="L61" s="13"/>
      <c r="M61" s="13"/>
      <c r="N61" s="13"/>
      <c r="O61" s="31"/>
    </row>
    <row r="62" ht="15.00" customHeight="true">
      <c r="A62" s="7">
        <v>55</v>
      </c>
      <c r="B62" s="31"/>
      <c r="C62" s="31"/>
      <c r="D62" s="31"/>
      <c r="E62" s="13"/>
      <c r="F62" s="31"/>
      <c r="G62" s="13"/>
      <c r="H62" s="13"/>
      <c r="I62" s="13"/>
      <c r="J62" s="13"/>
      <c r="K62" s="13"/>
      <c r="L62" s="13"/>
      <c r="M62" s="13"/>
      <c r="N62" s="13"/>
      <c r="O62" s="31"/>
    </row>
    <row r="63" ht="15.00" customHeight="true">
      <c r="A63" s="5">
        <v>56</v>
      </c>
      <c r="B63" s="31"/>
      <c r="C63" s="31"/>
      <c r="D63" s="31"/>
      <c r="E63" s="13"/>
      <c r="F63" s="31"/>
      <c r="G63" s="13"/>
      <c r="H63" s="13"/>
      <c r="I63" s="13"/>
      <c r="J63" s="13"/>
      <c r="K63" s="13"/>
      <c r="L63" s="13"/>
      <c r="M63" s="13"/>
      <c r="N63" s="13"/>
      <c r="O63" s="31"/>
    </row>
    <row r="64" ht="15.00" customHeight="true">
      <c r="A64" s="7">
        <v>57</v>
      </c>
      <c r="B64" s="31"/>
      <c r="C64" s="31"/>
      <c r="D64" s="31"/>
      <c r="E64" s="13"/>
      <c r="F64" s="31"/>
      <c r="G64" s="13"/>
      <c r="H64" s="13"/>
      <c r="I64" s="13"/>
      <c r="J64" s="13"/>
      <c r="K64" s="13"/>
      <c r="L64" s="13"/>
      <c r="M64" s="13"/>
      <c r="N64" s="13"/>
      <c r="O64" s="31"/>
    </row>
    <row r="65" ht="15.75" customHeight="true">
      <c r="A65" s="42" t="s">
        <v>154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3">
        <f>=IFERROR(AVERAGEIF(L10:L32,"&gt;0",L10:L32),0)</f>
      </c>
      <c r="M65" s="44"/>
      <c r="N65" s="44"/>
      <c r="O65" s="44"/>
    </row>
  </sheetData>
  <mergeCells count="16">
    <mergeCell ref="A2:A4"/>
    <mergeCell ref="B2:J3"/>
    <mergeCell ref="K2:O2"/>
    <mergeCell ref="K3:O3"/>
    <mergeCell ref="B4:J4"/>
    <mergeCell ref="K4:O4"/>
    <mergeCell ref="A65:K65"/>
    <mergeCell ref="B6:D6"/>
    <mergeCell ref="G6:I6"/>
    <mergeCell ref="K6:L6"/>
    <mergeCell ref="N6:O6"/>
    <mergeCell ref="B7:C7"/>
    <mergeCell ref="E7:F7"/>
    <mergeCell ref="H7:I7"/>
    <mergeCell ref="K7:L7"/>
    <mergeCell ref="N7:O7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sheetData>
    <row r="1" ht="15.00" customHeight="true">
      <c r="A1" s="45" t="s">
        <v>70</v>
      </c>
    </row>
    <row r="2" ht="15.00" customHeight="true">
      <c r="A2" s="45" t="s">
        <v>74</v>
      </c>
    </row>
    <row r="3" ht="15.00" customHeight="true">
      <c r="A3" s="45" t="s">
        <v>62</v>
      </c>
    </row>
    <row r="4" ht="15.00" customHeight="true">
      <c r="A4" s="45" t="s">
        <v>155</v>
      </c>
    </row>
    <row r="5" ht="15.00" customHeight="true">
      <c r="A5" s="45" t="s">
        <v>93</v>
      </c>
    </row>
    <row r="6" ht="15.00" customHeight="true">
      <c r="A6" s="45" t="s">
        <v>86</v>
      </c>
    </row>
    <row r="7" ht="15.00" customHeight="true">
      <c r="A7" s="45" t="s">
        <v>90</v>
      </c>
    </row>
    <row r="8" ht="15.00" customHeight="true">
      <c r="A8" s="45" t="s">
        <v>46</v>
      </c>
    </row>
    <row r="9" ht="15.00" customHeight="true">
      <c r="A9" s="45" t="s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4.05" customWidth="1" hidden="0"/>
    <col min="2" max="2" width="24.04" customWidth="1" hidden="0"/>
    <col min="3" max="3" width="56.05" customWidth="1" hidden="0"/>
    <col min="4" max="4" width="32.01" customWidth="1" hidden="0"/>
  </cols>
  <sheetData>
    <row r="1" ht="9.75" customHeight="true">
      <c r="A1" s="1"/>
      <c r="B1" s="1"/>
      <c r="C1" s="1"/>
      <c r="D1" s="1"/>
    </row>
    <row r="2" ht="49.50" customHeight="true">
      <c r="A2" s="7" t="s">
        <v>0</v>
      </c>
      <c r="B2" s="45" t="s">
        <v>156</v>
      </c>
      <c r="C2" s="45"/>
      <c r="D2" s="45"/>
    </row>
    <row r="3" ht="19.50" customHeight="true">
      <c r="A3" s="7"/>
      <c r="B3" s="8" t="s">
        <v>157</v>
      </c>
      <c r="C3" s="8"/>
      <c r="D3" s="8"/>
    </row>
    <row r="4" ht="18.00" customHeight="true">
      <c r="A4" s="7"/>
      <c r="B4" s="45" t="s">
        <v>158</v>
      </c>
      <c r="C4" s="45"/>
      <c r="D4" s="45"/>
    </row>
    <row r="5" ht="4.50" customHeight="true">
      <c r="A5" s="1"/>
      <c r="B5" s="1"/>
      <c r="C5" s="1"/>
      <c r="D5" s="1"/>
    </row>
    <row r="7" ht="27.75" customHeight="true">
      <c r="B7" s="3" t="s">
        <v>159</v>
      </c>
      <c r="C7" s="3" t="s">
        <v>160</v>
      </c>
      <c r="D7" s="3" t="s">
        <v>161</v>
      </c>
    </row>
    <row r="8" ht="42.00" customHeight="true">
      <c r="B8" s="46" t="s">
        <v>22</v>
      </c>
      <c r="C8" s="4" t="s">
        <v>162</v>
      </c>
      <c r="D8" s="9" t="s">
        <v>163</v>
      </c>
    </row>
    <row r="9" ht="42.00" customHeight="true">
      <c r="B9" s="47" t="s">
        <v>23</v>
      </c>
      <c r="C9" s="6" t="s">
        <v>164</v>
      </c>
      <c r="D9" s="48" t="s">
        <v>165</v>
      </c>
    </row>
    <row r="10" ht="42.00" customHeight="true">
      <c r="B10" s="46" t="s">
        <v>24</v>
      </c>
      <c r="C10" s="4" t="s">
        <v>166</v>
      </c>
      <c r="D10" s="9" t="s">
        <v>167</v>
      </c>
    </row>
    <row r="11" ht="42.00" customHeight="true">
      <c r="B11" s="47" t="s">
        <v>25</v>
      </c>
      <c r="C11" s="6" t="s">
        <v>168</v>
      </c>
      <c r="D11" s="48" t="s">
        <v>169</v>
      </c>
    </row>
    <row r="12" ht="42.00" customHeight="true">
      <c r="B12" s="46" t="s">
        <v>170</v>
      </c>
      <c r="C12" s="4" t="s">
        <v>171</v>
      </c>
      <c r="D12" s="9" t="s">
        <v>172</v>
      </c>
    </row>
    <row r="13" ht="42.00" customHeight="true">
      <c r="B13" s="47" t="s">
        <v>27</v>
      </c>
      <c r="C13" s="6" t="s">
        <v>173</v>
      </c>
      <c r="D13" s="48" t="s">
        <v>174</v>
      </c>
    </row>
    <row r="14" ht="42.00" customHeight="true">
      <c r="B14" s="46" t="s">
        <v>175</v>
      </c>
      <c r="C14" s="4" t="s">
        <v>176</v>
      </c>
      <c r="D14" s="9" t="s">
        <v>177</v>
      </c>
    </row>
    <row r="15" ht="42.00" customHeight="true">
      <c r="B15" s="47" t="s">
        <v>31</v>
      </c>
      <c r="C15" s="6" t="s">
        <v>178</v>
      </c>
      <c r="D15" s="48" t="s">
        <v>179</v>
      </c>
    </row>
    <row r="16" ht="42.00" customHeight="true">
      <c r="B16" s="46" t="s">
        <v>180</v>
      </c>
      <c r="C16" s="4" t="s">
        <v>181</v>
      </c>
      <c r="D16" s="9" t="s">
        <v>182</v>
      </c>
    </row>
    <row r="17" ht="42.00" customHeight="true">
      <c r="B17" s="47" t="s">
        <v>33</v>
      </c>
      <c r="C17" s="6" t="s">
        <v>183</v>
      </c>
      <c r="D17" s="48" t="s">
        <v>184</v>
      </c>
    </row>
    <row r="18" ht="42.00" customHeight="true">
      <c r="B18" s="46" t="s">
        <v>34</v>
      </c>
      <c r="C18" s="4" t="s">
        <v>185</v>
      </c>
      <c r="D18" s="9" t="s">
        <v>186</v>
      </c>
    </row>
    <row r="19" ht="42.00" customHeight="true">
      <c r="B19" s="47" t="s">
        <v>187</v>
      </c>
      <c r="C19" s="6" t="s">
        <v>188</v>
      </c>
      <c r="D19" s="48" t="s">
        <v>189</v>
      </c>
    </row>
    <row r="20" ht="42.00" customHeight="true">
      <c r="B20" s="46" t="s">
        <v>36</v>
      </c>
      <c r="C20" s="4" t="s">
        <v>190</v>
      </c>
      <c r="D20" s="9" t="s">
        <v>167</v>
      </c>
    </row>
    <row r="22" ht="45.75" customHeight="true">
      <c r="B22" s="8" t="s">
        <v>191</v>
      </c>
      <c r="C22" s="8"/>
      <c r="D22" s="8"/>
    </row>
    <row r="24" ht="27.75" customHeight="true">
      <c r="B24" s="9" t="s">
        <v>192</v>
      </c>
      <c r="C24" s="9"/>
      <c r="D24" s="9"/>
    </row>
    <row r="25" ht="21.75" customHeight="true">
      <c r="B25" s="45" t="s">
        <v>193</v>
      </c>
      <c r="C25" s="45"/>
      <c r="D25" s="45"/>
    </row>
    <row r="26" ht="21.75" customHeight="true">
      <c r="B26" s="8" t="s">
        <v>194</v>
      </c>
      <c r="C26" s="8"/>
      <c r="D26" s="8"/>
    </row>
    <row r="27" ht="21.75" customHeight="true">
      <c r="B27" s="45" t="s">
        <v>195</v>
      </c>
      <c r="C27" s="45"/>
      <c r="D27" s="45"/>
    </row>
    <row r="28" ht="21.75" customHeight="true">
      <c r="B28" s="8" t="s">
        <v>196</v>
      </c>
      <c r="C28" s="8"/>
      <c r="D28" s="8"/>
    </row>
    <row r="29" ht="21.75" customHeight="true">
      <c r="B29" s="10" t="s">
        <v>197</v>
      </c>
      <c r="C29" s="45"/>
      <c r="D29" s="45"/>
    </row>
    <row r="30" ht="21.75" customHeight="true">
      <c r="B30" s="8" t="s">
        <v>198</v>
      </c>
      <c r="C30" s="8"/>
      <c r="D30" s="8"/>
    </row>
    <row r="31" ht="21.75" customHeight="true">
      <c r="B31" s="45" t="s">
        <v>199</v>
      </c>
      <c r="C31" s="45"/>
      <c r="D31" s="45"/>
    </row>
    <row r="32" ht="21.75" customHeight="true">
      <c r="B32" s="8" t="s">
        <v>200</v>
      </c>
      <c r="C32" s="45"/>
      <c r="D32" s="45"/>
    </row>
  </sheetData>
  <mergeCells count="14">
    <mergeCell ref="A2:A4"/>
    <mergeCell ref="B2:D2"/>
    <mergeCell ref="B3:D3"/>
    <mergeCell ref="B4:D4"/>
    <mergeCell ref="B22:D22"/>
    <mergeCell ref="B29:D29"/>
    <mergeCell ref="B30:D30"/>
    <mergeCell ref="B31:D31"/>
    <mergeCell ref="B32:D32"/>
    <mergeCell ref="B24:D24"/>
    <mergeCell ref="B25:D25"/>
    <mergeCell ref="B26:D26"/>
    <mergeCell ref="B27:D27"/>
    <mergeCell ref="B28:D28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INSTRUCTIVO</vt:lpstr>
      <vt:lpstr>PLAN DE TRABAJO</vt:lpstr>
      <vt:lpstr>EQUIPO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2026-05-14T00:40:11Z</dcterms:created>
  <dcterms:modified xsi:type="dcterms:W3CDTF">2026-05-14T00:40:11Z</dcterms:modified>
</cp:coreProperties>
</file>