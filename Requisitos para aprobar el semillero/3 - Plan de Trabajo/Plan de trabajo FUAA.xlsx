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A362F701-342B-44BA-9376-DDFA8980CCAB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PLAN DE TRABAJO" sheetId="1" r:id="rId1"/>
    <sheet name="EQUIPO" sheetId="2" r:id="rId2" state="hidden"/>
    <sheet name="INSTRUCTIVO" sheetId="3" r:id="rId3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/>
  <c r="K7" i="1"/>
  <c r="L33" i="1"/>
</calcChain>
</file>

<file path=xl/sharedStrings.xml><?xml version="1.0" encoding="utf-8"?>
<sst xmlns="http://schemas.openxmlformats.org/spreadsheetml/2006/main" count="319" uniqueCount="142">
  <si>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</si>
  <si>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</si>
  <si>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</si>
  <si>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</si>
  <si>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</si>
  <si>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</si>
  <si>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</si>
  <si>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</si>
  <si>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</si>
  <si>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</si>
  <si>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</si>
  <si>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</si>
  <si>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</si>
  <si>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</si>
  <si>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</si>
  <si>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</si>
  <si>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</si>
  <si>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</si>
  <si>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</si>
  <si>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</si>
  <si>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</si>
  <si>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</si>
  <si>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</si>
  <si>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</si>
  <si>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</si>
  <si>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</si>
  <si>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rFont val="Arial"/>
        <sz val="9.00"/>
        <b/>
        <color rgb="FFFFFFFF"/>
        <family val="2"/>
      </rPr>
      <t xml:space="preserve">META
</t>
    </r>
    <r>
      <rPr>
        <rFont val="Calibri"/>
        <sz val="11.00"/>
        <color rgb="FF000000"/>
        <family val="2"/>
      </rPr>
      <t>NUMÉRICA</t>
    </r>
  </si>
  <si>
    <t>RESPONSABLE(S)</t>
  </si>
  <si>
    <t>F. INICIO</t>
  </si>
  <si>
    <t>F. FIN</t>
  </si>
  <si>
    <t>F. ENTREGA</t>
  </si>
  <si>
    <t>RIESGO</t>
  </si>
  <si>
    <r>
      <rPr>
        <rFont val="Arial"/>
        <sz val="9.00"/>
        <b/>
        <color rgb="FFFFFFFF"/>
        <family val="2"/>
      </rPr>
      <t xml:space="preserve">ENTREGABLE
</t>
    </r>
    <r>
      <rPr>
        <rFont val="Calibri"/>
        <sz val="11.00"/>
        <color rgb="FF000000"/>
        <family val="2"/>
      </rPr>
      <t>VERIF.</t>
    </r>
  </si>
  <si>
    <t>% AVANCE</t>
  </si>
  <si>
    <t>ESTADO</t>
  </si>
  <si>
    <r>
      <rPr>
        <rFont val="Arial"/>
        <sz val="9.00"/>
        <b/>
        <color rgb="FFFFFFFF"/>
        <family val="2"/>
      </rPr>
      <t xml:space="preserve">APROBADO
</t>
    </r>
    <r>
      <rPr>
        <rFont val="Calibri"/>
        <sz val="11.00"/>
        <color rgb="FF000000"/>
        <family val="2"/>
      </rPr>
      <t>POR</t>
    </r>
  </si>
  <si>
    <t>OBSERVACIONES</t>
  </si>
  <si>
    <t>Investigacion</t>
  </si>
  <si>
    <t>HU 01: Infraestructura y Viabilidad de Servidores</t>
  </si>
  <si>
    <t>Entregable 1</t>
  </si>
  <si>
    <t>Equipo: Sebastián Bautista Martínez y Andres Felipe Andrade</t>
  </si>
  <si>
    <t>15/03/2026</t>
  </si>
  <si>
    <t>30/03/2026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</si>
  <si>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</si>
  <si>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</si>
  <si>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</si>
  <si>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</si>
  <si>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</si>
  <si>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</si>
  <si>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</si>
  <si>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</si>
  <si>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</si>
  <si>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</si>
  <si>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</si>
  <si>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</si>
  <si>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</si>
  <si>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</si>
  <si>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</si>
  <si>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</si>
  <si>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</si>
  <si>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</si>
  <si>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</t>
  </si>
  <si>
    <t>Andres Felipe Andrade</t>
  </si>
  <si>
    <t>13/04/2026</t>
  </si>
  <si>
    <t>17/04/2026</t>
  </si>
  <si>
    <t>29/04/2026</t>
  </si>
  <si>
    <t>HU 08: Investigación Exploratoria - Estándar TOON y Tokens</t>
  </si>
  <si>
    <t>29/04/2027</t>
  </si>
  <si>
    <t>IA / ML</t>
  </si>
  <si>
    <t>HU 10: Spike Exploratorio - Selección de Modelo y Fine-Tuning</t>
  </si>
  <si>
    <t>Juan Diego Mejía Maestre</t>
  </si>
  <si>
    <t>29/04/2028</t>
  </si>
  <si>
    <t>IA / Agentes</t>
  </si>
  <si>
    <t>HU 09: Spike Exploratorio - Agentes, Skills y Comandos de IA</t>
  </si>
  <si>
    <t>David Ospina</t>
  </si>
  <si>
    <t>29/04/2029</t>
  </si>
  <si>
    <t>Roles / Equipo</t>
  </si>
  <si>
    <t>HU 06: Mapeo de Capacidades y Configuración de Roles</t>
  </si>
  <si>
    <t>29/04/2030</t>
  </si>
  <si>
    <t>HU 00: Mapeo de Capacidades Técnicas y Roles del Equipo</t>
  </si>
  <si>
    <t>29/04/2031</t>
  </si>
  <si>
    <t>HU 02: Mapeo de Capacidades y Configuración de Roles</t>
  </si>
  <si>
    <t>29/04/2032</t>
  </si>
  <si>
    <t>HU 03: Mapeo de Capacidades y Configuración de Roles</t>
  </si>
  <si>
    <t>29/04/2033</t>
  </si>
  <si>
    <t>HU 01: Mapeo de Capacidades y Configuración de Roles</t>
  </si>
  <si>
    <t>Pohlman Cuartas</t>
  </si>
  <si>
    <t>29/04/2034</t>
  </si>
  <si>
    <t>Entregado con tardanza</t>
  </si>
  <si>
    <t>HU 04: Mapeo de Capacidades y Configuración de Roles</t>
  </si>
  <si>
    <t>María Virginia Labarca</t>
  </si>
  <si>
    <t>29/04/2035</t>
  </si>
  <si>
    <t>HU 05: Mapeo de Capacidades y Configuración de Roles</t>
  </si>
  <si>
    <t>Sebastián Bautista Martínez</t>
  </si>
  <si>
    <t>29/04/2036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</si>
  <si>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</si>
  <si>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</si>
  <si>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</si>
  <si>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</si>
  <si>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</si>
  <si>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</si>
  <si>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</si>
  <si>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</si>
  <si>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</si>
  <si>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</si>
  <si>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</si>
  <si>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</si>
  <si>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</si>
  <si>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</si>
  <si>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</si>
  <si>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</si>
  <si>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</si>
  <si>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</si>
  <si>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</si>
  <si>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rFont val="Arial"/>
        <sz val="9.00"/>
        <color rgb="FF1A1A1A"/>
        <family val="2"/>
      </rPr>
      <t xml:space="preserve">Escriba libremente los nombres de los integrantes a cargo.
</t>
    </r>
    <r>
      <t>Pa</t>
    </r>
    <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</si>
  <si>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</si>
  <si>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</si>
  <si>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</si>
  <si>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</si>
  <si>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</si>
  <si>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</si>
  <si>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</si>
  <si>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</si>
  <si>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</si>
  <si>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rFont val="Arial"/>
        <sz val="9.00"/>
        <color rgb="FF1A1A1A"/>
        <family val="2"/>
      </rPr>
      <t xml:space="preserve">Avance como decimal entre 0 y 1. La barra verde crece automáticamente.
</t>
    </r>
    <r>
      <rPr>
        <rFont val="Calibri"/>
        <sz val="11.00"/>
        <color rgb="FF000000"/>
        <family val="2"/>
      </rPr>
      <t>Ejemplo: escriba 0.75 para representar el 75%.</t>
    </r>
  </si>
  <si>
    <t>Decimal de 0 a 1</t>
  </si>
  <si>
    <r>
      <rPr>
        <rFont val="Arial"/>
        <sz val="9.00"/>
        <color rgb="FF1A1A1A"/>
        <family val="2"/>
      </rPr>
      <t xml:space="preserve">Estado actual de la actividad. Menú desplegable.
</t>
    </r>
    <r>
      <rPr>
        <rFont val="Calibri"/>
        <sz val="11.00"/>
        <color rgb="FF000000"/>
        <family val="2"/>
      </rPr>
      <t>El color se asigna automáticamente.</t>
    </r>
  </si>
  <si>
    <r>
      <rPr>
        <rFont val="Arial"/>
        <sz val="9.00"/>
        <i/>
        <color rgb="FF666666"/>
        <family val="2"/>
      </rPr>
      <t xml:space="preserve">✅ Completado · ⏳ En proceso
</t>
    </r>
    <r>
      <rPr>
        <rFont val="Calibri"/>
        <sz val="11.00"/>
        <color rgb="FF000000"/>
        <family val="2"/>
      </rPr>
      <t>📅 Pendiente · 🔴 Crític</t>
    </r>
    <r>
      <t>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</si>
  <si>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</si>
  <si>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</si>
  <si>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</si>
  <si>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</si>
  <si>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</si>
  <si>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</si>
  <si>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• Juan Diego Mejía Maestre</t>
  </si>
  <si>
    <t>• David Ospina</t>
  </si>
  <si>
    <t>• Andres Felipe Andrade</t>
  </si>
  <si>
    <t>• Oscar Antury Avila</t>
  </si>
  <si>
    <t>• Sebastián Bautista Martínez</t>
  </si>
  <si>
    <t>• Pohlman Cuartas</t>
  </si>
  <si>
    <t>• María Virginia Labarca</t>
  </si>
  <si>
    <t>🎓  Raúl Bareño Gutiérrez  (Líder / Docente)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</si>
</sst>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rial"/>
      <family val="2"/>
      <scheme val="minor"/>
    </font>
    <font>
      <name val="Arial"/>
      <sz val="9.00"/>
      <color rgb="FF1A1A1A"/>
      <family val="2"/>
    </font>
    <font>
      <name val="Arial"/>
      <sz val="12.00"/>
      <b/>
      <color rgb="FFFFFFFF"/>
      <family val="2"/>
    </font>
    <font>
      <name val="Arial"/>
      <sz val="9.00"/>
      <u val="single"/>
      <color rgb="FF1A1A1A"/>
      <family val="2"/>
    </font>
    <font>
      <name val="Arial"/>
      <sz val="9.00"/>
      <i/>
      <color rgb="FF666666"/>
      <family val="2"/>
    </font>
    <font>
      <name val="Arial"/>
      <sz val="10.00"/>
      <b/>
      <color rgb="FFFFFFFF"/>
      <family val="2"/>
    </font>
    <font>
      <name val="Arial"/>
      <sz val="9.00"/>
      <b/>
      <color rgb="FF5A8500"/>
      <family val="2"/>
    </font>
    <font>
      <name val="Calibri"/>
      <sz val="11.00"/>
      <u val="single"/>
      <color rgb="FF0563C1"/>
      <family val="2"/>
    </font>
    <font>
      <name val="Calibri"/>
      <sz val="11.00"/>
      <u val="single"/>
      <color rgb="FF000000"/>
      <family val="2"/>
    </font>
    <font>
      <name val="Calibri"/>
      <sz val="11.00"/>
      <color rgb="FF000000"/>
      <family val="2"/>
    </font>
    <font>
      <name val="Arial"/>
      <sz val="8.00"/>
      <b/>
      <color rgb="FFFFFFFF"/>
      <family val="2"/>
    </font>
    <font>
      <name val="Arial"/>
      <sz val="9.00"/>
      <b/>
      <color rgb="FFFFFFFF"/>
      <family val="2"/>
    </font>
    <font>
      <name val="Arial"/>
      <sz val="22.00"/>
      <b/>
      <color rgb="FFFFFFFF"/>
      <family val="2"/>
    </font>
    <font>
      <name val="Arial"/>
      <sz val="9.00"/>
      <i/>
      <color rgb="FF5A8500"/>
      <family val="2"/>
    </font>
  </fonts>
  <fills count="22">
    <fill>
      <patternFill patternType="none"/>
    </fill>
    <fill>
      <patternFill patternType="gray125"/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3">
    <xf numFmtId="0" fontId="0" fillId="0" borderId="0"/>
    <xf fontId="1" applyFont="1" fillId="2" applyFill="1" borderId="1" applyBorder="1" applyAlignment="1">
      <alignment vertical="center" horizontal="left" wrapText="1"/>
    </xf>
    <xf fontId="2" applyFont="1" fillId="3" applyFill="1" borderId="2" applyBorder="1" applyAlignment="1">
      <alignment vertical="center" horizontal="center"/>
    </xf>
    <xf fontId="1" applyFont="1" fillId="4" applyFill="1" borderId="3" applyBorder="1" applyAlignment="1">
      <alignment vertical="center" horizontal="center" wrapText="1"/>
    </xf>
    <xf fontId="3" applyFont="1" fillId="5" applyFill="1" borderId="4" applyBorder="1" applyAlignment="1">
      <alignment vertical="center" horizontal="center" wrapText="1"/>
    </xf>
    <xf fontId="4" applyFont="1" fillId="6" applyFill="1" borderId="5" applyBorder="1" applyAlignment="1">
      <alignment vertical="center" horizontal="left" wrapText="1"/>
    </xf>
    <xf fontId="5" applyFont="1" fillId="7" applyFill="1" borderId="6" applyBorder="1" applyAlignment="1">
      <alignment vertical="center" horizontal="center"/>
    </xf>
    <xf fontId="6" applyFont="1" fillId="8" applyFill="1" borderId="7" applyBorder="1" applyAlignment="1">
      <alignment vertical="center" horizontal="left" wrapText="1"/>
    </xf>
    <xf fontId="7" applyFont="1" fillId="9" applyFill="1" borderId="8" applyBorder="1" applyAlignment="1">
      <alignment vertical="center" horizontal="left" wrapText="1"/>
    </xf>
    <xf fontId="8" applyFont="1"/>
    <xf fontId="6" applyFont="1" fillId="10" applyFill="1" borderId="9" applyBorder="1" applyAlignment="1">
      <alignment vertical="center" horizontal="left" wrapText="1"/>
    </xf>
    <xf fontId="9" applyFont="1" fillId="11" applyFill="1"/>
    <xf fontId="10" applyFont="1" fillId="12" applyFill="1" borderId="10" applyBorder="1" applyAlignment="1">
      <alignment vertical="center" horizontal="left"/>
    </xf>
    <xf fontId="9" applyFont="1" fillId="13" applyFill="1"/>
    <xf fontId="10" applyFont="1" fillId="14" applyFill="1" borderId="11" applyBorder="1" applyAlignment="1">
      <alignment vertical="center" horizontal="left"/>
    </xf>
    <xf fontId="11" applyFont="1" fillId="15" applyFill="1" borderId="12" applyBorder="1" applyAlignment="1">
      <alignment vertical="center" horizontal="center" wrapText="1"/>
    </xf>
    <xf fontId="12" applyFont="1" fillId="16" applyFill="1" applyAlignment="1">
      <alignment vertical="center" horizontal="center"/>
    </xf>
    <xf fontId="1" applyFont="1" fillId="17" applyFill="1" borderId="13" applyBorder="1" applyAlignment="1">
      <alignment vertical="center" horizontal="left" wrapText="1"/>
    </xf>
    <xf fontId="13" applyFont="1" fillId="18" applyFill="1" borderId="14" applyBorder="1" applyAlignment="1">
      <alignment vertical="center" horizontal="left" wrapText="1"/>
    </xf>
    <xf fontId="4" applyFont="1" fillId="19" applyFill="1" borderId="15" applyBorder="1" applyAlignment="1">
      <alignment vertical="center" horizontal="left" wrapText="1"/>
    </xf>
    <xf fontId="9" applyFont="1" fillId="20" applyFill="1" borderId="16" applyBorder="1"/>
    <xf fontId="1" applyFont="1" fillId="21" applyFill="1" borderId="17" applyBorder="1" applyAlignment="1">
      <alignment vertical="center" horizontal="center" wrapText="1"/>
    </xf>
    <xf fontId="9" applyFont="1"/>
  </cellStyleXfs>
  <cellXfs count="23">
    <xf numFmtId="0" fontId="0" fillId="0" borderId="0" xfId="0"/>
    <xf xfId="11" quotePrefix="0" pivotButton="0" fontId="9" applyFont="1" fillId="11" applyFill="1"/>
    <xf xfId="16" quotePrefix="0" pivotButton="0" fontId="12" applyFont="1" fillId="16" applyFill="1" applyAlignment="1">
      <alignment vertical="center" horizontal="center"/>
    </xf>
    <xf xfId="8" quotePrefix="0" pivotButton="0" fontId="7" applyFont="1" fillId="9" applyFill="1" borderId="8" applyBorder="1" applyAlignment="1">
      <alignment vertical="center" horizontal="left" wrapText="1"/>
    </xf>
    <xf xfId="5" quotePrefix="0" pivotButton="0" fontId="4" applyFont="1" fillId="6" applyFill="1" borderId="5" applyBorder="1" applyAlignment="1">
      <alignment vertical="center" horizontal="left" wrapText="1"/>
    </xf>
    <xf xfId="7" quotePrefix="0" pivotButton="0" fontId="6" applyFont="1" fillId="8" applyFill="1" borderId="7" applyBorder="1" applyAlignment="1">
      <alignment vertical="center" horizontal="left" wrapText="1"/>
    </xf>
    <xf xfId="19" quotePrefix="0" pivotButton="0" fontId="4" applyFont="1" fillId="19" applyFill="1" borderId="15" applyBorder="1" applyAlignment="1">
      <alignment vertical="center" horizontal="left" wrapText="1"/>
    </xf>
    <xf xfId="10" quotePrefix="0" pivotButton="0" fontId="6" applyFont="1" fillId="10" applyFill="1" borderId="9" applyBorder="1" applyAlignment="1">
      <alignment vertical="center" horizontal="left" wrapText="1"/>
    </xf>
    <xf xfId="14" quotePrefix="0" pivotButton="0" fontId="10" applyFont="1" fillId="14" applyFill="1" borderId="11" applyBorder="1" applyAlignment="1">
      <alignment vertical="center" horizontal="left"/>
    </xf>
    <xf xfId="22" quotePrefix="0" pivotButton="0" fontId="9" applyFont="1"/>
    <xf xfId="12" quotePrefix="0" pivotButton="0" fontId="10" applyFont="1" fillId="12" applyFill="1" borderId="10" applyBorder="1" applyAlignment="1">
      <alignment vertical="center" horizontal="left"/>
    </xf>
    <xf xfId="21" quotePrefix="0" pivotButton="0" fontId="1" applyFont="1" fillId="21" applyFill="1" borderId="17" applyBorder="1" applyAlignment="1">
      <alignment vertical="center" horizontal="center" wrapText="1"/>
    </xf>
    <xf xfId="13" quotePrefix="0" pivotButton="0" fontId="9" applyFont="1" fillId="13" applyFill="1"/>
    <xf xfId="15" quotePrefix="0" pivotButton="0" fontId="11" applyFont="1" fillId="15" applyFill="1" borderId="12" applyBorder="1" applyAlignment="1">
      <alignment vertical="center" horizontal="center" wrapText="1"/>
    </xf>
    <xf xfId="17" quotePrefix="0" pivotButton="0" fontId="1" applyFont="1" fillId="17" applyFill="1" borderId="13" applyBorder="1" applyAlignment="1">
      <alignment vertical="center" horizontal="left" wrapText="1"/>
    </xf>
    <xf xfId="3" quotePrefix="0" pivotButton="0" fontId="1" applyFont="1" fillId="4" applyFill="1" borderId="3" applyBorder="1" applyAlignment="1">
      <alignment vertical="center" horizontal="center" wrapText="1"/>
    </xf>
    <xf xfId="1" quotePrefix="0" pivotButton="0" fontId="1" applyFont="1" fillId="2" applyFill="1" borderId="1" applyBorder="1" applyAlignment="1">
      <alignment vertical="center" horizontal="left" wrapText="1"/>
    </xf>
    <xf xfId="9" quotePrefix="0" pivotButton="0" fontId="8" applyFont="1"/>
    <xf xfId="4" quotePrefix="0" pivotButton="0" fontId="3" applyFont="1" fillId="5" applyFill="1" borderId="4" applyBorder="1" applyAlignment="1">
      <alignment vertical="center" horizontal="center" wrapText="1"/>
    </xf>
    <xf xfId="2" quotePrefix="0" pivotButton="0" fontId="2" applyFont="1" fillId="3" applyFill="1" borderId="2" applyBorder="1" applyAlignment="1">
      <alignment vertical="center" horizontal="center"/>
    </xf>
    <xf xfId="20" quotePrefix="0" pivotButton="0" fontId="9" applyFont="1" fillId="20" applyFill="1" borderId="16" applyBorder="1"/>
    <xf xfId="6" quotePrefix="0" pivotButton="0" fontId="5" applyFont="1" fillId="7" applyFill="1" borderId="6" applyBorder="1" applyAlignment="1">
      <alignment vertical="center" horizontal="center"/>
    </xf>
    <xf xfId="18" quotePrefix="0" pivotButton="0" fontId="13" applyFont="1" fillId="18" applyFill="1" borderId="14" applyBorder="1" applyAlignment="1">
      <alignment vertical="center"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<Relationship Id="rId7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pane ySplit="9" topLeftCell="A10" activePane="bottomRight" state="frozen"/>
      <selection activeCell="A1" sqref="A1"/>
    </sheetView>
  </sheetViews>
  <sheetFormatPr defaultRowHeight="15.00" customHeight="1" defaultColWidth="8.71"/>
  <cols>
    <col min="1" max="1" width="10.43" customWidth="1" hidden="0"/>
    <col min="2" max="2" width="13.37" customWidth="1" hidden="0"/>
    <col min="3" max="3" width="54.58" customWidth="1" hidden="0"/>
    <col min="4" max="4" width="32.13" customWidth="1" hidden="0"/>
    <col min="5" max="5" width="11.28" customWidth="1" hidden="0"/>
    <col min="6" max="6" width="50.04" customWidth="1" hidden="0"/>
    <col min="7" max="7" width="14.23" customWidth="1" hidden="0"/>
    <col min="8" max="9" width="10.67" customWidth="1" hidden="0"/>
    <col min="10" max="10" width="17.54" customWidth="1" hidden="0"/>
    <col min="11" max="11" width="10.67" customWidth="1" hidden="0"/>
    <col min="12" max="12" width="10.18" customWidth="1" hidden="0"/>
    <col min="13" max="13" width="14.72" customWidth="1" hidden="0"/>
    <col min="14" max="14" width="18.40" customWidth="1" hidden="0"/>
    <col min="15" max="15" width="32.75" customWidth="1" hidden="0"/>
  </cols>
  <sheetData>
    <row r="1" ht="15.00" customHeight="tru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00" customHeight="tru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ht="15.00" customHeight="tru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ht="15.00" customHeight="tru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ht="15.00" customHeight="tru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ht="15.00" customHeight="tru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ht="15.00" customHeight="tru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>
        <f>=COUNTA(A10:A32)</f>
      </c>
      <c r="L7" s="11"/>
      <c r="M7" s="10" t="s">
        <v>21</v>
      </c>
      <c r="N7" s="11">
        <f>=COUNTIF(M10:M32,"✅ Completado")</f>
      </c>
      <c r="O7" s="11"/>
    </row>
    <row r="8" ht="15.00" customHeight="tru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39.00" customHeight="tru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ht="15.00" customHeight="true">
      <c r="A10" s="11">
        <v>1</v>
      </c>
      <c r="B10" s="14" t="s">
        <v>37</v>
      </c>
      <c r="C10" s="14" t="s">
        <v>38</v>
      </c>
      <c r="D10" s="3" t="s">
        <v>39</v>
      </c>
      <c r="E10" s="11">
        <v>3</v>
      </c>
      <c r="F10" s="14" t="s">
        <v>40</v>
      </c>
      <c r="G10" s="9" t="s">
        <v>41</v>
      </c>
      <c r="H10" s="9" t="s">
        <v>42</v>
      </c>
      <c r="I10" s="9" t="s">
        <v>19</v>
      </c>
      <c r="J10" s="11" t="s">
        <v>43</v>
      </c>
      <c r="K10" s="11" t="s">
        <v>44</v>
      </c>
      <c r="L10" s="11">
        <v>1</v>
      </c>
      <c r="M10" s="11" t="s">
        <v>45</v>
      </c>
      <c r="N10" s="11" t="s">
        <v>46</v>
      </c>
      <c r="O10" s="14" t="s">
        <v>47</v>
      </c>
    </row>
    <row r="11" ht="15.00" customHeight="true">
      <c r="A11" s="15">
        <v>2</v>
      </c>
      <c r="B11" s="14" t="s">
        <v>37</v>
      </c>
      <c r="C11" s="16" t="s">
        <v>48</v>
      </c>
      <c r="D11" s="3" t="s">
        <v>39</v>
      </c>
      <c r="E11" s="11">
        <v>3</v>
      </c>
      <c r="F11" s="16" t="s">
        <v>49</v>
      </c>
      <c r="G11" s="9" t="s">
        <v>41</v>
      </c>
      <c r="H11" s="9" t="s">
        <v>42</v>
      </c>
      <c r="I11" s="9" t="s">
        <v>19</v>
      </c>
      <c r="J11" s="15" t="s">
        <v>43</v>
      </c>
      <c r="K11" s="11" t="s">
        <v>44</v>
      </c>
      <c r="L11" s="11">
        <v>1</v>
      </c>
      <c r="M11" s="11" t="s">
        <v>45</v>
      </c>
      <c r="N11" s="11" t="s">
        <v>46</v>
      </c>
      <c r="O11" s="14" t="s">
        <v>47</v>
      </c>
    </row>
    <row r="12" ht="15.00" customHeight="true">
      <c r="A12" s="11">
        <v>3</v>
      </c>
      <c r="B12" s="14" t="s">
        <v>37</v>
      </c>
      <c r="C12" s="14" t="s">
        <v>50</v>
      </c>
      <c r="D12" s="3" t="s">
        <v>39</v>
      </c>
      <c r="E12" s="11">
        <v>3</v>
      </c>
      <c r="F12" s="14" t="s">
        <v>51</v>
      </c>
      <c r="G12" s="9" t="s">
        <v>41</v>
      </c>
      <c r="H12" s="9" t="s">
        <v>42</v>
      </c>
      <c r="I12" s="9" t="s">
        <v>19</v>
      </c>
      <c r="J12" s="11" t="s">
        <v>43</v>
      </c>
      <c r="K12" s="11" t="s">
        <v>44</v>
      </c>
      <c r="L12" s="11">
        <v>1</v>
      </c>
      <c r="M12" s="11" t="s">
        <v>45</v>
      </c>
      <c r="N12" s="11" t="s">
        <v>46</v>
      </c>
      <c r="O12" s="14" t="s">
        <v>47</v>
      </c>
    </row>
    <row r="13" ht="15.00" customHeight="true">
      <c r="A13" s="15">
        <v>4</v>
      </c>
      <c r="B13" s="14" t="s">
        <v>37</v>
      </c>
      <c r="C13" s="16" t="s">
        <v>52</v>
      </c>
      <c r="D13" s="3" t="s">
        <v>39</v>
      </c>
      <c r="E13" s="11">
        <v>3</v>
      </c>
      <c r="F13" s="16" t="s">
        <v>53</v>
      </c>
      <c r="G13" s="9" t="s">
        <v>41</v>
      </c>
      <c r="H13" s="9" t="s">
        <v>42</v>
      </c>
      <c r="I13" s="9" t="s">
        <v>19</v>
      </c>
      <c r="J13" s="11" t="s">
        <v>43</v>
      </c>
      <c r="K13" s="11" t="s">
        <v>44</v>
      </c>
      <c r="L13" s="11">
        <v>1</v>
      </c>
      <c r="M13" s="11" t="s">
        <v>45</v>
      </c>
      <c r="N13" s="11" t="s">
        <v>46</v>
      </c>
      <c r="O13" s="14" t="s">
        <v>47</v>
      </c>
    </row>
    <row r="14" ht="15.00" customHeight="true">
      <c r="A14" s="11">
        <v>5</v>
      </c>
      <c r="B14" s="14" t="s">
        <v>37</v>
      </c>
      <c r="C14" s="14" t="s">
        <v>54</v>
      </c>
      <c r="D14" s="3" t="s">
        <v>39</v>
      </c>
      <c r="E14" s="11">
        <v>3</v>
      </c>
      <c r="F14" s="14" t="s">
        <v>55</v>
      </c>
      <c r="G14" s="9" t="s">
        <v>41</v>
      </c>
      <c r="H14" s="9" t="s">
        <v>42</v>
      </c>
      <c r="I14" s="9" t="s">
        <v>19</v>
      </c>
      <c r="J14" s="15" t="s">
        <v>43</v>
      </c>
      <c r="K14" s="11" t="s">
        <v>44</v>
      </c>
      <c r="L14" s="11">
        <v>1</v>
      </c>
      <c r="M14" s="11" t="s">
        <v>45</v>
      </c>
      <c r="N14" s="11" t="s">
        <v>46</v>
      </c>
      <c r="O14" s="14" t="s">
        <v>47</v>
      </c>
    </row>
    <row r="15" ht="15.00" customHeight="true">
      <c r="A15" s="15">
        <v>6</v>
      </c>
      <c r="B15" s="14" t="s">
        <v>37</v>
      </c>
      <c r="C15" s="16" t="s">
        <v>56</v>
      </c>
      <c r="D15" s="3" t="s">
        <v>39</v>
      </c>
      <c r="E15" s="11">
        <v>3</v>
      </c>
      <c r="F15" s="16" t="s">
        <v>57</v>
      </c>
      <c r="G15" s="9" t="s">
        <v>41</v>
      </c>
      <c r="H15" s="9" t="s">
        <v>42</v>
      </c>
      <c r="I15" s="9" t="s">
        <v>19</v>
      </c>
      <c r="J15" s="11" t="s">
        <v>43</v>
      </c>
      <c r="K15" s="11" t="s">
        <v>44</v>
      </c>
      <c r="L15" s="11">
        <v>1</v>
      </c>
      <c r="M15" s="11" t="s">
        <v>45</v>
      </c>
      <c r="N15" s="11" t="s">
        <v>46</v>
      </c>
      <c r="O15" s="14" t="s">
        <v>47</v>
      </c>
    </row>
    <row r="16" ht="15.00" customHeight="true">
      <c r="A16" s="11">
        <v>7</v>
      </c>
      <c r="B16" s="14" t="s">
        <v>37</v>
      </c>
      <c r="C16" s="14" t="s">
        <v>58</v>
      </c>
      <c r="D16" s="3" t="s">
        <v>39</v>
      </c>
      <c r="E16" s="11">
        <v>3</v>
      </c>
      <c r="F16" s="14" t="s">
        <v>46</v>
      </c>
      <c r="G16" s="9" t="s">
        <v>41</v>
      </c>
      <c r="H16" s="9" t="s">
        <v>42</v>
      </c>
      <c r="I16" s="9" t="s">
        <v>19</v>
      </c>
      <c r="J16" s="11" t="s">
        <v>43</v>
      </c>
      <c r="K16" s="11" t="s">
        <v>44</v>
      </c>
      <c r="L16" s="11">
        <v>1</v>
      </c>
      <c r="M16" s="11" t="s">
        <v>45</v>
      </c>
      <c r="N16" s="11" t="s">
        <v>46</v>
      </c>
      <c r="O16" s="14" t="s">
        <v>47</v>
      </c>
    </row>
    <row r="17" ht="15.00" customHeight="true">
      <c r="A17" s="15">
        <v>10</v>
      </c>
      <c r="B17" s="16" t="s">
        <v>59</v>
      </c>
      <c r="C17" s="16" t="s">
        <v>60</v>
      </c>
      <c r="D17" s="3" t="s">
        <v>61</v>
      </c>
      <c r="E17" s="11">
        <v>3</v>
      </c>
      <c r="F17" s="16" t="s">
        <v>62</v>
      </c>
      <c r="G17" s="9" t="s">
        <v>63</v>
      </c>
      <c r="H17" s="9" t="s">
        <v>64</v>
      </c>
      <c r="I17" s="9" t="s">
        <v>65</v>
      </c>
      <c r="J17" s="11" t="s">
        <v>43</v>
      </c>
      <c r="K17" s="11" t="s">
        <v>44</v>
      </c>
      <c r="L17" s="11">
        <v>1</v>
      </c>
      <c r="M17" s="11" t="s">
        <v>45</v>
      </c>
      <c r="N17" s="11" t="s">
        <v>46</v>
      </c>
      <c r="O17" s="14" t="s">
        <v>47</v>
      </c>
    </row>
    <row r="18" ht="15.00" customHeight="true">
      <c r="A18" s="11">
        <v>11</v>
      </c>
      <c r="B18" s="14" t="s">
        <v>59</v>
      </c>
      <c r="C18" s="14" t="s">
        <v>66</v>
      </c>
      <c r="D18" s="3" t="s">
        <v>61</v>
      </c>
      <c r="E18" s="11">
        <v>3</v>
      </c>
      <c r="F18" s="14" t="s">
        <v>62</v>
      </c>
      <c r="G18" s="9" t="s">
        <v>63</v>
      </c>
      <c r="H18" s="9" t="s">
        <v>64</v>
      </c>
      <c r="I18" s="9" t="s">
        <v>67</v>
      </c>
      <c r="J18" s="15" t="s">
        <v>43</v>
      </c>
      <c r="K18" s="11" t="s">
        <v>44</v>
      </c>
      <c r="L18" s="11">
        <v>1</v>
      </c>
      <c r="M18" s="11" t="s">
        <v>45</v>
      </c>
      <c r="N18" s="11" t="s">
        <v>46</v>
      </c>
      <c r="O18" s="14" t="s">
        <v>47</v>
      </c>
    </row>
    <row r="19" ht="15.00" customHeight="true">
      <c r="A19" s="15">
        <v>12</v>
      </c>
      <c r="B19" s="16" t="s">
        <v>68</v>
      </c>
      <c r="C19" s="16" t="s">
        <v>69</v>
      </c>
      <c r="D19" s="3" t="s">
        <v>61</v>
      </c>
      <c r="E19" s="11">
        <v>3</v>
      </c>
      <c r="F19" s="16" t="s">
        <v>70</v>
      </c>
      <c r="G19" s="9" t="s">
        <v>63</v>
      </c>
      <c r="H19" s="9" t="s">
        <v>64</v>
      </c>
      <c r="I19" s="9" t="s">
        <v>71</v>
      </c>
      <c r="J19" s="11" t="s">
        <v>43</v>
      </c>
      <c r="K19" s="11" t="s">
        <v>44</v>
      </c>
      <c r="L19" s="11">
        <v>1</v>
      </c>
      <c r="M19" s="11" t="s">
        <v>45</v>
      </c>
      <c r="N19" s="11" t="s">
        <v>46</v>
      </c>
      <c r="O19" s="14" t="s">
        <v>47</v>
      </c>
    </row>
    <row r="20" ht="15.00" customHeight="true">
      <c r="A20" s="11">
        <v>13</v>
      </c>
      <c r="B20" s="14" t="s">
        <v>72</v>
      </c>
      <c r="C20" s="14" t="s">
        <v>73</v>
      </c>
      <c r="D20" s="3" t="s">
        <v>61</v>
      </c>
      <c r="E20" s="11">
        <v>3</v>
      </c>
      <c r="F20" s="14" t="s">
        <v>74</v>
      </c>
      <c r="G20" s="9" t="s">
        <v>63</v>
      </c>
      <c r="H20" s="9" t="s">
        <v>64</v>
      </c>
      <c r="I20" s="9" t="s">
        <v>75</v>
      </c>
      <c r="J20" s="11" t="s">
        <v>43</v>
      </c>
      <c r="K20" s="11" t="s">
        <v>44</v>
      </c>
      <c r="L20" s="11">
        <v>1</v>
      </c>
      <c r="M20" s="11" t="s">
        <v>45</v>
      </c>
      <c r="N20" s="11" t="s">
        <v>46</v>
      </c>
      <c r="O20" s="14" t="s">
        <v>47</v>
      </c>
    </row>
    <row r="21" ht="15.00" customHeight="true">
      <c r="A21" s="15">
        <v>14</v>
      </c>
      <c r="B21" s="16" t="s">
        <v>76</v>
      </c>
      <c r="C21" s="16" t="s">
        <v>77</v>
      </c>
      <c r="D21" s="3" t="s">
        <v>61</v>
      </c>
      <c r="E21" s="11">
        <v>3</v>
      </c>
      <c r="F21" s="16" t="s">
        <v>70</v>
      </c>
      <c r="G21" s="9" t="s">
        <v>63</v>
      </c>
      <c r="H21" s="9" t="s">
        <v>64</v>
      </c>
      <c r="I21" s="9" t="s">
        <v>78</v>
      </c>
      <c r="J21" s="15" t="s">
        <v>43</v>
      </c>
      <c r="K21" s="11" t="s">
        <v>44</v>
      </c>
      <c r="L21" s="11">
        <v>1</v>
      </c>
      <c r="M21" s="15" t="s">
        <v>45</v>
      </c>
      <c r="N21" s="11" t="s">
        <v>46</v>
      </c>
      <c r="O21" s="14" t="s">
        <v>47</v>
      </c>
    </row>
    <row r="22" ht="15.00" customHeight="true">
      <c r="A22" s="11">
        <v>15</v>
      </c>
      <c r="B22" s="14" t="s">
        <v>76</v>
      </c>
      <c r="C22" s="14" t="s">
        <v>79</v>
      </c>
      <c r="D22" s="3" t="s">
        <v>61</v>
      </c>
      <c r="E22" s="11">
        <v>3</v>
      </c>
      <c r="F22" s="14" t="s">
        <v>70</v>
      </c>
      <c r="G22" s="9" t="s">
        <v>63</v>
      </c>
      <c r="H22" s="9" t="s">
        <v>64</v>
      </c>
      <c r="I22" s="9" t="s">
        <v>80</v>
      </c>
      <c r="J22" s="11" t="s">
        <v>43</v>
      </c>
      <c r="K22" s="11" t="s">
        <v>44</v>
      </c>
      <c r="L22" s="11">
        <v>1</v>
      </c>
      <c r="M22" s="11" t="s">
        <v>45</v>
      </c>
      <c r="N22" s="11" t="s">
        <v>46</v>
      </c>
      <c r="O22" s="14" t="s">
        <v>47</v>
      </c>
    </row>
    <row r="23" ht="15.00" customHeight="true">
      <c r="A23" s="15">
        <v>16</v>
      </c>
      <c r="B23" s="16" t="s">
        <v>76</v>
      </c>
      <c r="C23" s="16" t="s">
        <v>81</v>
      </c>
      <c r="D23" s="3" t="s">
        <v>61</v>
      </c>
      <c r="E23" s="11">
        <v>3</v>
      </c>
      <c r="F23" s="16" t="s">
        <v>62</v>
      </c>
      <c r="G23" s="9" t="s">
        <v>63</v>
      </c>
      <c r="H23" s="9" t="s">
        <v>64</v>
      </c>
      <c r="I23" s="9" t="s">
        <v>82</v>
      </c>
      <c r="J23" s="11" t="s">
        <v>43</v>
      </c>
      <c r="K23" s="11" t="s">
        <v>44</v>
      </c>
      <c r="L23" s="11">
        <v>1</v>
      </c>
      <c r="M23" s="15" t="s">
        <v>45</v>
      </c>
      <c r="N23" s="11" t="s">
        <v>46</v>
      </c>
      <c r="O23" s="14" t="s">
        <v>47</v>
      </c>
    </row>
    <row r="24" ht="15.00" customHeight="true">
      <c r="A24" s="11">
        <v>17</v>
      </c>
      <c r="B24" s="14" t="s">
        <v>76</v>
      </c>
      <c r="C24" s="14" t="s">
        <v>83</v>
      </c>
      <c r="D24" s="3" t="s">
        <v>61</v>
      </c>
      <c r="E24" s="11">
        <v>3</v>
      </c>
      <c r="F24" s="14" t="s">
        <v>74</v>
      </c>
      <c r="G24" s="17" t="s">
        <v>63</v>
      </c>
      <c r="H24" s="9" t="s">
        <v>64</v>
      </c>
      <c r="I24" s="9" t="s">
        <v>84</v>
      </c>
      <c r="J24" s="15" t="s">
        <v>43</v>
      </c>
      <c r="K24" s="11" t="s">
        <v>44</v>
      </c>
      <c r="L24" s="11">
        <v>1</v>
      </c>
      <c r="M24" s="11" t="s">
        <v>45</v>
      </c>
      <c r="N24" s="11" t="s">
        <v>46</v>
      </c>
      <c r="O24" s="14" t="s">
        <v>47</v>
      </c>
    </row>
    <row r="25" ht="15.00" customHeight="true">
      <c r="A25" s="15">
        <v>18</v>
      </c>
      <c r="B25" s="16" t="s">
        <v>76</v>
      </c>
      <c r="C25" s="16" t="s">
        <v>85</v>
      </c>
      <c r="D25" s="3" t="s">
        <v>61</v>
      </c>
      <c r="E25" s="11">
        <v>3</v>
      </c>
      <c r="F25" s="16" t="s">
        <v>86</v>
      </c>
      <c r="G25" s="9" t="s">
        <v>63</v>
      </c>
      <c r="H25" s="9" t="s">
        <v>64</v>
      </c>
      <c r="I25" s="9" t="s">
        <v>87</v>
      </c>
      <c r="J25" s="11" t="s">
        <v>43</v>
      </c>
      <c r="K25" s="11" t="s">
        <v>44</v>
      </c>
      <c r="L25" s="11">
        <v>1</v>
      </c>
      <c r="M25" s="15" t="s">
        <v>45</v>
      </c>
      <c r="N25" s="11" t="s">
        <v>46</v>
      </c>
      <c r="O25" s="14" t="s">
        <v>88</v>
      </c>
    </row>
    <row r="26" ht="15.00" customHeight="true">
      <c r="A26" s="11">
        <v>19</v>
      </c>
      <c r="B26" s="14" t="s">
        <v>76</v>
      </c>
      <c r="C26" s="14" t="s">
        <v>89</v>
      </c>
      <c r="D26" s="3" t="s">
        <v>61</v>
      </c>
      <c r="E26" s="11">
        <v>3</v>
      </c>
      <c r="F26" s="14" t="s">
        <v>90</v>
      </c>
      <c r="G26" s="9" t="s">
        <v>63</v>
      </c>
      <c r="H26" s="9" t="s">
        <v>64</v>
      </c>
      <c r="I26" s="9" t="s">
        <v>91</v>
      </c>
      <c r="J26" s="11" t="s">
        <v>43</v>
      </c>
      <c r="K26" s="11" t="s">
        <v>44</v>
      </c>
      <c r="L26" s="11">
        <v>1</v>
      </c>
      <c r="M26" s="11" t="s">
        <v>45</v>
      </c>
      <c r="N26" s="11" t="s">
        <v>46</v>
      </c>
      <c r="O26" s="14" t="s">
        <v>47</v>
      </c>
    </row>
    <row r="27" ht="15.00" customHeight="true">
      <c r="A27" s="15">
        <v>20</v>
      </c>
      <c r="B27" s="16" t="s">
        <v>76</v>
      </c>
      <c r="C27" s="16" t="s">
        <v>92</v>
      </c>
      <c r="D27" s="3" t="s">
        <v>61</v>
      </c>
      <c r="E27" s="11">
        <v>3</v>
      </c>
      <c r="F27" s="16" t="s">
        <v>93</v>
      </c>
      <c r="G27" s="9" t="s">
        <v>63</v>
      </c>
      <c r="H27" s="9" t="s">
        <v>64</v>
      </c>
      <c r="I27" s="9" t="s">
        <v>94</v>
      </c>
      <c r="J27" s="15" t="s">
        <v>43</v>
      </c>
      <c r="K27" s="11" t="s">
        <v>44</v>
      </c>
      <c r="L27" s="15">
        <v>1</v>
      </c>
      <c r="M27" s="15" t="s">
        <v>45</v>
      </c>
      <c r="N27" s="11" t="s">
        <v>46</v>
      </c>
      <c r="O27" s="14" t="s">
        <v>47</v>
      </c>
    </row>
    <row r="28" ht="15.00" customHeight="true">
      <c r="A28" s="11"/>
      <c r="B28" s="14"/>
      <c r="C28" s="14"/>
      <c r="D28" s="14"/>
      <c r="E28" s="11"/>
      <c r="F28" s="14"/>
      <c r="G28" s="11"/>
      <c r="H28" s="11"/>
      <c r="I28" s="11"/>
      <c r="J28" s="11"/>
      <c r="K28" s="11"/>
      <c r="L28" s="11"/>
      <c r="M28" s="18"/>
      <c r="N28" s="11"/>
      <c r="O28" s="14"/>
    </row>
    <row r="29" ht="15.00" customHeight="true">
      <c r="A29" s="15"/>
      <c r="B29" s="16"/>
      <c r="C29" s="16"/>
      <c r="D29" s="16"/>
      <c r="E29" s="15"/>
      <c r="F29" s="16"/>
      <c r="G29" s="15"/>
      <c r="H29" s="15"/>
      <c r="I29" s="15"/>
      <c r="J29" s="15"/>
      <c r="K29" s="15"/>
      <c r="L29" s="15"/>
      <c r="M29" s="15"/>
      <c r="N29" s="15"/>
      <c r="O29" s="16"/>
    </row>
    <row r="30" ht="15.00" customHeight="true">
      <c r="A30" s="11"/>
      <c r="B30" s="14"/>
      <c r="C30" s="14"/>
      <c r="D30" s="14"/>
      <c r="E30" s="11"/>
      <c r="F30" s="14"/>
      <c r="G30" s="11"/>
      <c r="H30" s="11"/>
      <c r="I30" s="11"/>
      <c r="J30" s="11"/>
      <c r="K30" s="11"/>
      <c r="L30" s="11"/>
      <c r="M30" s="11"/>
      <c r="N30" s="11"/>
      <c r="O30" s="14"/>
    </row>
    <row r="31" ht="15.00" customHeight="true">
      <c r="A31" s="15"/>
      <c r="B31" s="16"/>
      <c r="C31" s="16"/>
      <c r="D31" s="16"/>
      <c r="E31" s="15"/>
      <c r="F31" s="16"/>
      <c r="G31" s="15"/>
      <c r="H31" s="15"/>
      <c r="I31" s="15"/>
      <c r="J31" s="15"/>
      <c r="K31" s="15"/>
      <c r="L31" s="15"/>
      <c r="M31" s="15"/>
      <c r="N31" s="15"/>
      <c r="O31" s="16"/>
    </row>
    <row r="32" ht="15.00" customHeight="true">
      <c r="A32" s="11"/>
      <c r="B32" s="14"/>
      <c r="C32" s="14"/>
      <c r="D32" s="14"/>
      <c r="E32" s="11"/>
      <c r="F32" s="14"/>
      <c r="G32" s="11"/>
      <c r="H32" s="11"/>
      <c r="I32" s="11"/>
      <c r="J32" s="11"/>
      <c r="K32" s="11"/>
      <c r="L32" s="11"/>
      <c r="M32" s="11"/>
      <c r="N32" s="11"/>
      <c r="O32" s="14"/>
    </row>
    <row r="33" ht="15.75" customHeight="true">
      <c r="A33" s="17" t="s">
        <v>95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9">
        <f>=IFERROR(AVERAGEIF(L10:L32,"&gt;0",L10:L32),0)</f>
      </c>
      <c r="M33" s="20"/>
      <c r="N33" s="20"/>
      <c r="O33" s="20"/>
    </row>
  </sheetData>
  <mergeCells count="16">
    <mergeCell ref="A2:A4"/>
    <mergeCell ref="B2:J3"/>
    <mergeCell ref="K2:O2"/>
    <mergeCell ref="K3:O3"/>
    <mergeCell ref="B4:J4"/>
    <mergeCell ref="K4:O4"/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sheetData>
    <row r="1" ht="15.00" customHeight="true">
      <c r="A1" s="9" t="s">
        <v>70</v>
      </c>
    </row>
    <row r="2" ht="15.00" customHeight="true">
      <c r="A2" s="9" t="s">
        <v>74</v>
      </c>
    </row>
    <row r="3" ht="15.00" customHeight="true">
      <c r="A3" s="9" t="s">
        <v>62</v>
      </c>
    </row>
    <row r="4" ht="15.00" customHeight="true">
      <c r="A4" s="9" t="s">
        <v>96</v>
      </c>
    </row>
    <row r="5" ht="15.00" customHeight="true">
      <c r="A5" s="9" t="s">
        <v>93</v>
      </c>
    </row>
    <row r="6" ht="15.00" customHeight="true">
      <c r="A6" s="9" t="s">
        <v>86</v>
      </c>
    </row>
    <row r="7" ht="15.00" customHeight="true">
      <c r="A7" s="9" t="s">
        <v>90</v>
      </c>
    </row>
    <row r="8" ht="15.00" customHeight="true">
      <c r="A8" s="9" t="s">
        <v>46</v>
      </c>
    </row>
    <row r="9" ht="15.00" customHeight="true">
      <c r="A9" s="9" t="s">
        <v>9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cols>
    <col min="1" max="1" width="4.05" customWidth="1" hidden="0"/>
    <col min="2" max="2" width="24.04" customWidth="1" hidden="0"/>
    <col min="3" max="3" width="56.05" customWidth="1" hidden="0"/>
    <col min="4" max="4" width="32.01" customWidth="1" hidden="0"/>
  </cols>
  <sheetData>
    <row r="1" ht="9.75" customHeight="true">
      <c r="A1" s="1"/>
      <c r="B1" s="1"/>
      <c r="C1" s="1"/>
      <c r="D1" s="1"/>
    </row>
    <row r="2" ht="49.50" customHeight="true">
      <c r="A2" s="16" t="s">
        <v>0</v>
      </c>
      <c r="B2" s="15" t="s">
        <v>97</v>
      </c>
      <c r="C2" s="15"/>
      <c r="D2" s="15"/>
    </row>
    <row r="3" ht="19.50" customHeight="true">
      <c r="A3" s="16"/>
      <c r="B3" s="6" t="s">
        <v>98</v>
      </c>
      <c r="C3" s="6"/>
      <c r="D3" s="6"/>
    </row>
    <row r="4" ht="18.00" customHeight="true">
      <c r="A4" s="16"/>
      <c r="B4" s="14" t="s">
        <v>99</v>
      </c>
      <c r="C4" s="14"/>
      <c r="D4" s="14"/>
    </row>
    <row r="5" ht="4.50" customHeight="true">
      <c r="A5" s="1"/>
      <c r="B5" s="1"/>
      <c r="C5" s="1"/>
      <c r="D5" s="1"/>
    </row>
    <row r="7" ht="27.75" customHeight="true">
      <c r="B7" s="21" t="s">
        <v>100</v>
      </c>
      <c r="C7" s="21" t="s">
        <v>101</v>
      </c>
      <c r="D7" s="21" t="s">
        <v>102</v>
      </c>
    </row>
    <row r="8" ht="42.00" customHeight="true">
      <c r="B8" s="7" t="s">
        <v>22</v>
      </c>
      <c r="C8" s="16" t="s">
        <v>103</v>
      </c>
      <c r="D8" s="6" t="s">
        <v>104</v>
      </c>
    </row>
    <row r="9" ht="42.00" customHeight="true">
      <c r="B9" s="5" t="s">
        <v>23</v>
      </c>
      <c r="C9" s="14" t="s">
        <v>105</v>
      </c>
      <c r="D9" s="4" t="s">
        <v>106</v>
      </c>
    </row>
    <row r="10" ht="42.00" customHeight="true">
      <c r="B10" s="7" t="s">
        <v>24</v>
      </c>
      <c r="C10" s="16" t="s">
        <v>107</v>
      </c>
      <c r="D10" s="6" t="s">
        <v>108</v>
      </c>
    </row>
    <row r="11" ht="42.00" customHeight="true">
      <c r="B11" s="5" t="s">
        <v>25</v>
      </c>
      <c r="C11" s="14" t="s">
        <v>109</v>
      </c>
      <c r="D11" s="4" t="s">
        <v>110</v>
      </c>
    </row>
    <row r="12" ht="42.00" customHeight="true">
      <c r="B12" s="7" t="s">
        <v>111</v>
      </c>
      <c r="C12" s="16" t="s">
        <v>112</v>
      </c>
      <c r="D12" s="6" t="s">
        <v>113</v>
      </c>
    </row>
    <row r="13" ht="42.00" customHeight="true">
      <c r="B13" s="5" t="s">
        <v>27</v>
      </c>
      <c r="C13" s="14" t="s">
        <v>114</v>
      </c>
      <c r="D13" s="4" t="s">
        <v>115</v>
      </c>
    </row>
    <row r="14" ht="42.00" customHeight="true">
      <c r="B14" s="7" t="s">
        <v>116</v>
      </c>
      <c r="C14" s="16" t="s">
        <v>117</v>
      </c>
      <c r="D14" s="6" t="s">
        <v>118</v>
      </c>
    </row>
    <row r="15" ht="42.00" customHeight="true">
      <c r="B15" s="5" t="s">
        <v>31</v>
      </c>
      <c r="C15" s="14" t="s">
        <v>119</v>
      </c>
      <c r="D15" s="4" t="s">
        <v>120</v>
      </c>
    </row>
    <row r="16" ht="42.00" customHeight="true">
      <c r="B16" s="7" t="s">
        <v>121</v>
      </c>
      <c r="C16" s="16" t="s">
        <v>122</v>
      </c>
      <c r="D16" s="6" t="s">
        <v>123</v>
      </c>
    </row>
    <row r="17" ht="42.00" customHeight="true">
      <c r="B17" s="5" t="s">
        <v>33</v>
      </c>
      <c r="C17" s="14" t="s">
        <v>124</v>
      </c>
      <c r="D17" s="4" t="s">
        <v>125</v>
      </c>
    </row>
    <row r="18" ht="42.00" customHeight="true">
      <c r="B18" s="7" t="s">
        <v>34</v>
      </c>
      <c r="C18" s="16" t="s">
        <v>126</v>
      </c>
      <c r="D18" s="6" t="s">
        <v>127</v>
      </c>
    </row>
    <row r="19" ht="42.00" customHeight="true">
      <c r="B19" s="5" t="s">
        <v>128</v>
      </c>
      <c r="C19" s="14" t="s">
        <v>129</v>
      </c>
      <c r="D19" s="4" t="s">
        <v>130</v>
      </c>
    </row>
    <row r="20" ht="42.00" customHeight="true">
      <c r="B20" s="7" t="s">
        <v>36</v>
      </c>
      <c r="C20" s="16" t="s">
        <v>131</v>
      </c>
      <c r="D20" s="6" t="s">
        <v>108</v>
      </c>
    </row>
    <row r="22" ht="45.75" customHeight="true">
      <c r="B22" s="22" t="s">
        <v>132</v>
      </c>
      <c r="C22" s="22"/>
      <c r="D22" s="22"/>
    </row>
    <row r="24" ht="27.75" customHeight="true">
      <c r="B24" s="21" t="s">
        <v>133</v>
      </c>
      <c r="C24" s="21"/>
      <c r="D24" s="21"/>
    </row>
    <row r="25" ht="21.75" customHeight="true">
      <c r="B25" s="9" t="s">
        <v>134</v>
      </c>
      <c r="C25" s="9"/>
      <c r="D25" s="9"/>
    </row>
    <row r="26" ht="21.75" customHeight="true">
      <c r="B26" s="20" t="s">
        <v>135</v>
      </c>
      <c r="C26" s="20"/>
      <c r="D26" s="20"/>
    </row>
    <row r="27" ht="21.75" customHeight="true">
      <c r="B27" s="9" t="s">
        <v>136</v>
      </c>
      <c r="C27" s="9"/>
      <c r="D27" s="9"/>
    </row>
    <row r="28" ht="21.75" customHeight="true">
      <c r="B28" s="20" t="s">
        <v>137</v>
      </c>
      <c r="C28" s="20"/>
      <c r="D28" s="20"/>
    </row>
    <row r="29" ht="21.75" customHeight="true">
      <c r="B29" s="9" t="s">
        <v>138</v>
      </c>
      <c r="C29" s="9"/>
      <c r="D29" s="9"/>
    </row>
    <row r="30" ht="21.75" customHeight="true">
      <c r="B30" s="20" t="s">
        <v>139</v>
      </c>
      <c r="C30" s="20"/>
      <c r="D30" s="20"/>
    </row>
    <row r="31" ht="21.75" customHeight="true">
      <c r="B31" s="9" t="s">
        <v>140</v>
      </c>
      <c r="C31" s="9"/>
      <c r="D31" s="9"/>
    </row>
    <row r="32" ht="21.75" customHeight="true">
      <c r="B32" s="19" t="s">
        <v>141</v>
      </c>
      <c r="C32" s="19"/>
      <c r="D32" s="19"/>
    </row>
  </sheetData>
  <mergeCells count="14">
    <mergeCell ref="A2:A4"/>
    <mergeCell ref="B2:D2"/>
    <mergeCell ref="B3:D3"/>
    <mergeCell ref="B4:D4"/>
    <mergeCell ref="B22:D22"/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2026-05-05T18:29:01Z</dcterms:created>
  <dcterms:modified xsi:type="dcterms:W3CDTF">2026-05-05T18:29:01Z</dcterms:modified>
</cp:coreProperties>
</file>