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Areandina\Semillero\Docs\IA-DataFlow Hub - Semillero\Requisitos para aprobar el semillero\6 - Entregas Parciales\Entregable 3\"/>
    </mc:Choice>
  </mc:AlternateContent>
  <xr:revisionPtr revIDLastSave="0" documentId="8_{F533B4E2-2631-4BA7-A4F3-767B50996AC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PLAN DE TRABAJO" sheetId="1" r:id="rId1"/>
    <sheet name="EQUIPO" sheetId="2" state="hidden" r:id="rId2"/>
    <sheet name="INSTRUCTIVO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7" i="1" l="1"/>
  <c r="K7" i="1"/>
  <c r="L33" i="1"/>
</calcChain>
</file>

<file path=xl/sharedStrings.xml><?xml version="1.0" encoding="utf-8"?>
<sst xmlns="http://schemas.openxmlformats.org/spreadsheetml/2006/main" count="354" uniqueCount="155">
  <si>
    <t>A</t>
  </si>
  <si>
    <t>PLAN DE TRABAJO</t>
  </si>
  <si>
    <t>ECOSISTEMA IA-DataFlow</t>
  </si>
  <si>
    <t>Área Andina · 2026</t>
  </si>
  <si>
    <t>Semillero de Investigación · Ecosistema IA-DataFlow · Fundación Universitaria del Área Andina</t>
  </si>
  <si>
    <t>Inteligencia Artificial &amp; Data Science</t>
  </si>
  <si>
    <t>PROYECTO:</t>
  </si>
  <si>
    <t>Ecosistema IA-DataFlow</t>
  </si>
  <si>
    <t>LÍDER / DOCENTE:</t>
  </si>
  <si>
    <t>Raúl Bareño Gutiérrez</t>
  </si>
  <si>
    <t>PERÍODO:</t>
  </si>
  <si>
    <t>03/2026 – 08/2026</t>
  </si>
  <si>
    <t>VERSIÓN:</t>
  </si>
  <si>
    <t>v1</t>
  </si>
  <si>
    <t>INICIO:</t>
  </si>
  <si>
    <t>01/03/2026</t>
  </si>
  <si>
    <t>FIN ESTIMADO:</t>
  </si>
  <si>
    <t>30/08/2026</t>
  </si>
  <si>
    <t>ACTUALIZACIÓN:</t>
  </si>
  <si>
    <t>18/04/2026</t>
  </si>
  <si>
    <t>TOTAL ACTIVIDADES:</t>
  </si>
  <si>
    <t>COMPLETADAS:</t>
  </si>
  <si>
    <t>NO.</t>
  </si>
  <si>
    <t>TEMA</t>
  </si>
  <si>
    <t>ACTIVIDAD</t>
  </si>
  <si>
    <t>PRODUCTO</t>
  </si>
  <si>
    <r>
      <rPr>
        <b/>
        <sz val="9"/>
        <color rgb="FFFFFFFF"/>
        <rFont val="Arial"/>
        <family val="2"/>
      </rPr>
      <t xml:space="preserve">META
</t>
    </r>
    <r>
      <rPr>
        <sz val="11"/>
        <color rgb="FF000000"/>
        <rFont val="Calibri"/>
        <family val="2"/>
      </rPr>
      <t>NUMÉRICA</t>
    </r>
  </si>
  <si>
    <t>RESPONSABLE(S)</t>
  </si>
  <si>
    <t>F. INICIO</t>
  </si>
  <si>
    <t>F. FIN</t>
  </si>
  <si>
    <t>F. ENTREGA</t>
  </si>
  <si>
    <t>RIESGO</t>
  </si>
  <si>
    <r>
      <rPr>
        <b/>
        <sz val="9"/>
        <color rgb="FFFFFFFF"/>
        <rFont val="Arial"/>
        <family val="2"/>
      </rPr>
      <t xml:space="preserve">ENTREGABLE
</t>
    </r>
    <r>
      <rPr>
        <sz val="11"/>
        <color rgb="FF000000"/>
        <rFont val="Calibri"/>
        <family val="2"/>
      </rPr>
      <t>VERIF.</t>
    </r>
  </si>
  <si>
    <t>% AVANCE</t>
  </si>
  <si>
    <t>ESTADO</t>
  </si>
  <si>
    <r>
      <rPr>
        <b/>
        <sz val="9"/>
        <color rgb="FFFFFFFF"/>
        <rFont val="Arial"/>
        <family val="2"/>
      </rPr>
      <t xml:space="preserve">APROBADO
</t>
    </r>
    <r>
      <rPr>
        <sz val="11"/>
        <color rgb="FF000000"/>
        <rFont val="Calibri"/>
        <family val="2"/>
      </rPr>
      <t>POR</t>
    </r>
  </si>
  <si>
    <t>OBSERVACIONES</t>
  </si>
  <si>
    <t>Investigacion</t>
  </si>
  <si>
    <t>HU 01: Infraestructura y Viabilidad de Servidores</t>
  </si>
  <si>
    <t>Entregable 1</t>
  </si>
  <si>
    <t>Equipo: Sebastián Bautista Martínez y Andres Felipe Andrade</t>
  </si>
  <si>
    <t>15/03/2026</t>
  </si>
  <si>
    <t>30/03/2026</t>
  </si>
  <si>
    <t>Bajo</t>
  </si>
  <si>
    <t>Sí</t>
  </si>
  <si>
    <t>✅ Completado</t>
  </si>
  <si>
    <t>Todo el equipo</t>
  </si>
  <si>
    <t>Entregado sin observaciones</t>
  </si>
  <si>
    <t>HU 02: Análisis de IA, Herramientas ETL y Economía de Tokens</t>
  </si>
  <si>
    <t>Equipo: Juan Diego Mejía y Brayan Monterrosa</t>
  </si>
  <si>
    <t>HU 03: Stack Tecnológico y Manejo de Procesos</t>
  </si>
  <si>
    <t>Equipo: Juan Diego Mejía y Oscar Antury Avila</t>
  </si>
  <si>
    <t>HU 04: Optimización de UX y Evolución de Dashboards</t>
  </si>
  <si>
    <t>Equipo: Oscar Antury Avila y María Virginia Labarca.</t>
  </si>
  <si>
    <t>HU 05: Seguridad, Privacidad y Cumplimiento (Ley 1581)</t>
  </si>
  <si>
    <t>Equipo: Pohlman Cuartas y David Ospina.</t>
  </si>
  <si>
    <t>HU 06: Arquitectura de Software y Modelado UML</t>
  </si>
  <si>
    <t>Equipo: Juan Diego Mejía y David Ospina.</t>
  </si>
  <si>
    <t>Registro CvLAC y semillero</t>
  </si>
  <si>
    <t>IA / NLP</t>
  </si>
  <si>
    <t>HU 07: Construcción del Corpus Maestro (150+ Archivos)</t>
  </si>
  <si>
    <t>Entregable 2</t>
  </si>
  <si>
    <t>Andres Felipe Andrade</t>
  </si>
  <si>
    <t>13/04/2026</t>
  </si>
  <si>
    <t>17/04/2026</t>
  </si>
  <si>
    <t>29/04/2026</t>
  </si>
  <si>
    <t>HU 08: Investigación Exploratoria - Estándar TOON y Tokens</t>
  </si>
  <si>
    <t>29/04/2027</t>
  </si>
  <si>
    <t>IA / ML</t>
  </si>
  <si>
    <t>HU 10: Spike Exploratorio - Selección de Modelo y Fine-Tuning</t>
  </si>
  <si>
    <t>Juan Diego Mejía Maestre</t>
  </si>
  <si>
    <t>29/04/2028</t>
  </si>
  <si>
    <t>IA / Agentes</t>
  </si>
  <si>
    <t>HU 09: Spike Exploratorio - Agentes, Skills y Comandos de IA</t>
  </si>
  <si>
    <t>David Ospina</t>
  </si>
  <si>
    <t>29/04/2029</t>
  </si>
  <si>
    <t>Roles / Equipo</t>
  </si>
  <si>
    <t>HU 06: Mapeo de Capacidades y Configuración de Roles</t>
  </si>
  <si>
    <t>29/04/2030</t>
  </si>
  <si>
    <t>HU 00: Mapeo de Capacidades Técnicas y Roles del Equipo</t>
  </si>
  <si>
    <t>29/04/2031</t>
  </si>
  <si>
    <t>HU 02: Mapeo de Capacidades y Configuración de Roles</t>
  </si>
  <si>
    <t>29/04/2032</t>
  </si>
  <si>
    <t>HU 03: Mapeo de Capacidades y Configuración de Roles</t>
  </si>
  <si>
    <t>29/04/2033</t>
  </si>
  <si>
    <t>HU 01: Mapeo de Capacidades y Configuración de Roles</t>
  </si>
  <si>
    <t>Pohlman Cuartas</t>
  </si>
  <si>
    <t>29/04/2034</t>
  </si>
  <si>
    <t>Entregado con tardanza</t>
  </si>
  <si>
    <t>HU 04: Mapeo de Capacidades y Configuración de Roles</t>
  </si>
  <si>
    <t>María Virginia Labarca</t>
  </si>
  <si>
    <t>29/04/2035</t>
  </si>
  <si>
    <t>HU 05: Mapeo de Capacidades y Configuración de Roles</t>
  </si>
  <si>
    <t>Sebastián Bautista Martínez</t>
  </si>
  <si>
    <t>29/04/2036</t>
  </si>
  <si>
    <t>PROMEDIO GENERAL DE AVANCE DEL PROYECTO</t>
  </si>
  <si>
    <t>Oscar Antury Avila</t>
  </si>
  <si>
    <t>INSTRUCTIVO DE USO — PLAN DE TRABAJO</t>
  </si>
  <si>
    <t>Semillero de Investigación · Ecosistema IA-DataFlow</t>
  </si>
  <si>
    <t>Fundación Universitaria del Área Andina · 2026</t>
  </si>
  <si>
    <t>COLUMNA</t>
  </si>
  <si>
    <t>DESCRIPCIÓN Y USO</t>
  </si>
  <si>
    <t>VALORES VÁLIDOS / NOTAS</t>
  </si>
  <si>
    <t>Número consecutivo de la actividad. Se asigna manualmente.</t>
  </si>
  <si>
    <t>Entero: 1, 2, 3…</t>
  </si>
  <si>
    <t>Área, módulo o componente del proyecto al que pertenece la actividad.</t>
  </si>
  <si>
    <t>Ej: Backend, UX/UI, Seguridad…</t>
  </si>
  <si>
    <t>Descripción clara y concreta de la tarea a ejecutar.</t>
  </si>
  <si>
    <t>Texto libre</t>
  </si>
  <si>
    <t>Entregable tangible que evidencia el cumplimiento.</t>
  </si>
  <si>
    <t>Documento, prototipo, código, informe…</t>
  </si>
  <si>
    <t>META NUMÉRICA</t>
  </si>
  <si>
    <t>Cuantificación del producto esperado.</t>
  </si>
  <si>
    <t>Ej: 1 informe, 3 diagramas</t>
  </si>
  <si>
    <r>
      <rPr>
        <sz val="9"/>
        <color rgb="FF1A1A1A"/>
        <rFont val="Arial"/>
        <family val="2"/>
      </rPr>
      <t xml:space="preserve">Escriba libremente los nombres de los integrantes a cargo.
</t>
    </r>
    <r>
      <rPr>
        <sz val="11"/>
        <color theme="1"/>
        <rFont val="Calibri"/>
        <family val="2"/>
        <scheme val="minor"/>
      </rPr>
      <t>Pa</t>
    </r>
    <r>
      <rPr>
        <sz val="11"/>
        <color theme="1"/>
        <rFont val="Calibri"/>
        <family val="2"/>
        <scheme val="minor"/>
      </rPr>
      <t>ra múltiples responsables sepárelos por coma.
Ej: Juan Diego, David Ospina</t>
    </r>
  </si>
  <si>
    <t>Texto libre — sin restricción de lista</t>
  </si>
  <si>
    <t>F. INICIO / FIN / ENTREGA</t>
  </si>
  <si>
    <t>Fechas del cronograma de la actividad.</t>
  </si>
  <si>
    <t>Formato DD/MM/AAAA</t>
  </si>
  <si>
    <t>Nivel de riesgo. El color se asigna automáticamente al seleccionar.</t>
  </si>
  <si>
    <t>Alto 🔴 · Medio 🟡 · Bajo 🟢</t>
  </si>
  <si>
    <t>ENTREGABLE VERIF.</t>
  </si>
  <si>
    <t>¿El entregable ya fue verificado o validado?</t>
  </si>
  <si>
    <t>Sí ✅ · No ❌ · N/A</t>
  </si>
  <si>
    <r>
      <rPr>
        <sz val="9"/>
        <color rgb="FF1A1A1A"/>
        <rFont val="Arial"/>
        <family val="2"/>
      </rPr>
      <t xml:space="preserve">Avance como decimal entre 0 y 1. La barra verde crece automáticamente.
</t>
    </r>
    <r>
      <rPr>
        <sz val="11"/>
        <color rgb="FF000000"/>
        <rFont val="Calibri"/>
        <family val="2"/>
      </rPr>
      <t>Ejemplo: escriba 0.75 para representar el 75%.</t>
    </r>
  </si>
  <si>
    <t>Decimal de 0 a 1</t>
  </si>
  <si>
    <r>
      <rPr>
        <sz val="9"/>
        <color rgb="FF1A1A1A"/>
        <rFont val="Arial"/>
        <family val="2"/>
      </rPr>
      <t xml:space="preserve">Estado actual de la actividad. Menú desplegable.
</t>
    </r>
    <r>
      <rPr>
        <sz val="11"/>
        <color rgb="FF000000"/>
        <rFont val="Calibri"/>
        <family val="2"/>
      </rPr>
      <t>El color se asigna automáticamente.</t>
    </r>
  </si>
  <si>
    <r>
      <rPr>
        <i/>
        <sz val="9"/>
        <color rgb="FF666666"/>
        <rFont val="Arial"/>
        <family val="2"/>
      </rPr>
      <t xml:space="preserve">✅ Completado · ⏳ En proceso
</t>
    </r>
    <r>
      <rPr>
        <sz val="11"/>
        <color rgb="FF000000"/>
        <rFont val="Calibri"/>
        <family val="2"/>
      </rPr>
      <t>📅 Pendiente · 🔴 Crític</t>
    </r>
    <r>
      <rPr>
        <sz val="11"/>
        <color theme="1"/>
        <rFont val="Calibri"/>
        <family val="2"/>
        <scheme val="minor"/>
      </rPr>
      <t>o</t>
    </r>
  </si>
  <si>
    <t>APROBADO POR</t>
  </si>
  <si>
    <t>Nombre de quien valida el entregable. Menú desplegable con el equipo.</t>
  </si>
  <si>
    <t>Lista desplegable del equipo</t>
  </si>
  <si>
    <t>Notas adicionales, alertas o comentarios sobre la actividad.</t>
  </si>
  <si>
    <t>💡  RESPONSABLES: Esta columna es texto libre. Puede escribir uno o varios nombres separados por coma sin ninguna restricción de lista.</t>
  </si>
  <si>
    <t>👥  INTEGRANTES DEL EQUIPO — ECOSISTEMA IA-DataFlow</t>
  </si>
  <si>
    <t>• Juan Diego Mejía Maestre</t>
  </si>
  <si>
    <t>• David Ospina</t>
  </si>
  <si>
    <t>• Andres Felipe Andrade</t>
  </si>
  <si>
    <t>• Oscar Antury Avila</t>
  </si>
  <si>
    <t>• Sebastián Bautista Martínez</t>
  </si>
  <si>
    <t>• Pohlman Cuartas</t>
  </si>
  <si>
    <t>• María Virginia Labarca</t>
  </si>
  <si>
    <t>🎓  Raúl Bareño Gutiérrez  (Líder / Docente)</t>
  </si>
  <si>
    <t>HU 11: Diseño y Creación de la Base de Datos Relacional (MySQL)</t>
  </si>
  <si>
    <t>HU 13: Configuración de Infraestructura de Datos (Docker)</t>
  </si>
  <si>
    <t>HU 14: Arquitectura Base y Monorepo</t>
  </si>
  <si>
    <t>media</t>
  </si>
  <si>
    <t>queda pendiente para revisar por Juan Diego para revisar si esta completa</t>
  </si>
  <si>
    <t>Equipo: Sebastián Bautista Martínez, María Virginia Labarca, Andres Felipe Andrade</t>
  </si>
  <si>
    <t>HU 15: Clasificación de Dataset de Caos para Entrenamiento de IA</t>
  </si>
  <si>
    <t>Equipo: Pohlman Cuartas y  Oscar Antury Avila</t>
  </si>
  <si>
    <t>El Equipo no entrego la tarea, y se reasigna a Juan Diego para completar esta HU</t>
  </si>
  <si>
    <t>base de datos</t>
  </si>
  <si>
    <t>infraestructura</t>
  </si>
  <si>
    <t>datasets</t>
  </si>
  <si>
    <t>Entregable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</si>
</sst>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(&quot;$&quot;* #,##0_);_(&quot;$&quot;* \(#,##0\);_(&quot;$&quot;* &quot;-&quot;_);_(@_)"/>
    <numFmt numFmtId="41" formatCode="_(* #,##0_);_(* \(#,##0\);_(* &quot;-&quot;_);_(@_)"/>
    <numFmt numFmtId="43" formatCode="_(* #,##0.00_);_(* \(#,##0.00\);_(* &quot;-&quot;??_);_(@_)"/>
  </numFmts>
  <fonts count="18" x14ac:knownFonts="1">
    <font>
      <sz val="11"/>
      <color theme="1"/>
      <name val="Calibri"/>
      <family val="2"/>
      <scheme val="minor"/>
    </font>
    <font>
      <sz val="9"/>
      <color rgb="FF1A1A1A"/>
      <name val="Arial"/>
      <family val="2"/>
    </font>
    <font>
      <b/>
      <sz val="12"/>
      <color rgb="FFFFFFFF"/>
      <name val="Arial"/>
      <family val="2"/>
    </font>
    <font>
      <i/>
      <sz val="9"/>
      <color rgb="FF666666"/>
      <name val="Arial"/>
      <family val="2"/>
    </font>
    <font>
      <b/>
      <sz val="10"/>
      <color rgb="FFFFFFFF"/>
      <name val="Arial"/>
      <family val="2"/>
    </font>
    <font>
      <b/>
      <sz val="9"/>
      <color rgb="FF5A8500"/>
      <name val="Arial"/>
      <family val="2"/>
    </font>
    <font>
      <u/>
      <sz val="11"/>
      <color rgb="FF0563C1"/>
      <name val="Calibri"/>
      <family val="2"/>
    </font>
    <font>
      <u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8"/>
      <color rgb="FFFFFFFF"/>
      <name val="Arial"/>
      <family val="2"/>
    </font>
    <font>
      <b/>
      <sz val="9"/>
      <color rgb="FFFFFFFF"/>
      <name val="Arial"/>
      <family val="2"/>
    </font>
    <font>
      <b/>
      <sz val="22"/>
      <color rgb="FFFFFFFF"/>
      <name val="Arial"/>
      <family val="2"/>
    </font>
    <font>
      <i/>
      <sz val="9"/>
      <color rgb="FF5A8500"/>
      <name val="Arial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0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rgb="FFEDF7D6"/>
        <bgColor indexed="64"/>
      </patternFill>
    </fill>
    <fill>
      <patternFill patternType="solid">
        <fgColor rgb="FF80BC00"/>
        <bgColor indexed="64"/>
      </patternFill>
    </fill>
    <fill>
      <patternFill patternType="solid">
        <fgColor rgb="FFEDF7D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5A85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DF7D6"/>
        <bgColor indexed="64"/>
      </patternFill>
    </fill>
    <fill>
      <patternFill patternType="solid">
        <fgColor rgb="FF80BC00"/>
        <bgColor indexed="64"/>
      </patternFill>
    </fill>
    <fill>
      <patternFill patternType="solid">
        <fgColor rgb="FF80BC00"/>
        <bgColor indexed="64"/>
      </patternFill>
    </fill>
    <fill>
      <patternFill patternType="solid">
        <fgColor rgb="FFB8DC6E"/>
        <bgColor indexed="64"/>
      </patternFill>
    </fill>
    <fill>
      <patternFill patternType="solid">
        <fgColor rgb="FF5A8500"/>
        <bgColor indexed="64"/>
      </patternFill>
    </fill>
    <fill>
      <patternFill patternType="solid">
        <fgColor rgb="FF5A8500"/>
        <bgColor indexed="64"/>
      </patternFill>
    </fill>
    <fill>
      <patternFill patternType="solid">
        <fgColor rgb="FF80BC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DF7D6"/>
        <bgColor indexed="64"/>
      </patternFill>
    </fill>
    <fill>
      <patternFill patternType="solid">
        <fgColor rgb="FFEDF7D6"/>
        <bgColor indexed="64"/>
      </patternFill>
    </fill>
    <fill>
      <patternFill patternType="solid">
        <fgColor rgb="FF5A85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0000"/>
        <bgColor indexed="64"/>
      </patternFill>
    </fill>
  </fills>
  <borders count="1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80BC00"/>
      </left>
      <right style="medium">
        <color rgb="FF80BC00"/>
      </right>
      <top style="medium">
        <color rgb="FF80BC00"/>
      </top>
      <bottom style="medium">
        <color rgb="FF80BC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80BC00"/>
      </left>
      <right style="medium">
        <color rgb="FF80BC00"/>
      </right>
      <top style="medium">
        <color rgb="FF80BC00"/>
      </top>
      <bottom style="medium">
        <color rgb="FF80BC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8DC6E"/>
      </left>
      <right style="thin">
        <color rgb="FFB8DC6E"/>
      </right>
      <top style="medium">
        <color rgb="FF80BC00"/>
      </top>
      <bottom style="medium">
        <color rgb="FF80BC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80BC00"/>
      </left>
      <right style="medium">
        <color rgb="FF80BC00"/>
      </right>
      <top style="medium">
        <color rgb="FF80BC00"/>
      </top>
      <bottom style="medium">
        <color rgb="FF80BC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80BC00"/>
      </left>
      <right style="medium">
        <color rgb="FF80BC00"/>
      </right>
      <top style="medium">
        <color rgb="FF80BC00"/>
      </top>
      <bottom style="medium">
        <color rgb="FF80BC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1">
    <xf numFmtId="0" fontId="0" fillId="0" borderId="0"/>
    <xf numFmtId="0" fontId="14" fillId="0" borderId="0" applyNumberFormat="0" applyFill="0" applyBorder="0" applyAlignment="0" applyProtection="0"/>
    <xf numFmtId="9" fontId="13" fillId="0" borderId="0" applyFont="0" applyFill="0" applyBorder="0" applyAlignment="0" applyProtection="0"/>
    <xf numFmtId="42" fontId="13" fillId="0" borderId="0" applyFont="0" applyFill="0" applyBorder="0" applyAlignment="0" applyProtection="0"/>
    <xf numFmtId="41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4" fillId="6" borderId="5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12" fillId="17" borderId="13" xfId="0" applyFont="1" applyFill="1" applyBorder="1">
      <alignment horizontal="left" vertical="center" wrapText="1"/>
    </xf>
    <xf numFmtId="0" fontId="1" fillId="16" borderId="12" xfId="0" applyFont="1" applyFill="1" applyBorder="1">
      <alignment horizontal="left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0" borderId="16" xfId="0" applyFont="1" applyFill="1" applyBorder="1" applyAlignment="1">
      <alignment horizontal="center" vertical="center" wrapText="1"/>
    </xf>
    <xf numFmtId="0" fontId="8" fillId="0" borderId="0" xfId="0" applyFont="1" applyFill="1" applyAlignment="1"/>
    <xf numFmtId="0" fontId="5" fillId="9" borderId="8" xfId="0" applyFont="1" applyFill="1" applyBorder="1" applyAlignment="1">
      <alignment horizontal="left" vertical="center" wrapText="1"/>
    </xf>
    <xf numFmtId="0" fontId="3" fillId="18" borderId="14" xfId="0" applyFont="1" applyFill="1" applyBorder="1">
      <alignment horizontal="left" vertical="center" wrapText="1"/>
    </xf>
    <xf numFmtId="0" fontId="5" fillId="7" borderId="6" xfId="0" applyFont="1" applyFill="1" applyBorder="1" applyAlignment="1">
      <alignment horizontal="left" vertical="center" wrapText="1"/>
    </xf>
    <xf numFmtId="0" fontId="3" fillId="5" borderId="4" xfId="0" applyFont="1" applyFill="1" applyBorder="1" applyAlignment="1">
      <alignment horizontal="left" vertical="center" wrapText="1"/>
    </xf>
    <xf numFmtId="0" fontId="6" fillId="8" borderId="7" xfId="0" applyFont="1" applyFill="1" applyBorder="1" applyAlignment="1">
      <alignment horizontal="left" vertical="center" wrapText="1"/>
    </xf>
    <xf numFmtId="0" fontId="11" fillId="15" borderId="0" xfId="0" applyFont="1" applyFill="1" applyAlignment="1">
      <alignment horizontal="center" vertical="center"/>
    </xf>
    <xf numFmtId="0" fontId="16" fillId="0" borderId="0" applyNumberFormat="0" applyFill="0" applyBorder="0" applyAlignment="0" applyProtection="0"/>
  </cellStyleXfs>
  <cellXfs count="32">
    <xf numFmtId="0" fontId="0" fillId="0" borderId="0" xfId="0"/>
    <xf numFmtId="0" fontId="8" fillId="19" borderId="15" xfId="17" applyFont="1" applyFill="1" applyBorder="1" applyAlignment="1"/>
    <xf numFmtId="0" fontId="7" fillId="0" borderId="0" xfId="0" applyFont="1"/>
    <xf numFmtId="0" fontId="8" fillId="10" borderId="0" xfId="9"/>
    <xf numFmtId="0" fontId="3" fillId="5" borderId="4" xfId="4">
      <alignment horizontal="left" vertical="center" wrapText="1"/>
    </xf>
    <xf numFmtId="0" fontId="5" fillId="7" borderId="6" xfId="6">
      <alignment horizontal="left" vertical="center" wrapText="1"/>
    </xf>
    <xf numFmtId="0" fontId="3" fillId="18" borderId="14" xfId="16">
      <alignment horizontal="left" vertical="center" wrapText="1"/>
    </xf>
    <xf numFmtId="0" fontId="5" fillId="9" borderId="8" xfId="8">
      <alignment horizontal="left" vertical="center" wrapText="1"/>
    </xf>
    <xf numFmtId="0" fontId="9" fillId="13" borderId="10" xfId="12">
      <alignment horizontal="left" vertical="center"/>
    </xf>
    <xf numFmtId="0" fontId="8" fillId="0" borderId="0" xfId="19"/>
    <xf numFmtId="0" fontId="9" fillId="11" borderId="9" xfId="10">
      <alignment horizontal="left" vertical="center"/>
    </xf>
    <xf numFmtId="0" fontId="1" fillId="20" borderId="16" xfId="18">
      <alignment horizontal="center" vertical="center" wrapText="1"/>
    </xf>
    <xf numFmtId="0" fontId="8" fillId="12" borderId="0" xfId="11"/>
    <xf numFmtId="0" fontId="10" fillId="14" borderId="11" xfId="13">
      <alignment horizontal="center" vertical="center" wrapText="1"/>
    </xf>
    <xf numFmtId="0" fontId="1" fillId="16" borderId="12" xfId="14">
      <alignment horizontal="left" vertical="center" wrapText="1"/>
    </xf>
    <xf numFmtId="0" fontId="1" fillId="4" borderId="3" xfId="3">
      <alignment horizontal="center" vertical="center" wrapText="1"/>
    </xf>
    <xf numFmtId="0" fontId="1" fillId="2" borderId="1" xfId="1">
      <alignment horizontal="left" vertical="center" wrapText="1"/>
    </xf>
    <xf numFmtId="0" fontId="2" fillId="3" borderId="2" xfId="2">
      <alignment horizontal="center" vertical="center"/>
    </xf>
    <xf numFmtId="0" fontId="8" fillId="19" borderId="15" xfId="17"/>
    <xf numFmtId="0" fontId="4" fillId="6" borderId="5" xfId="5">
      <alignment horizontal="center" vertical="center"/>
    </xf>
    <xf numFmtId="0" fontId="17" fillId="21" borderId="3" xfId="3" applyNumberFormat="1" applyFont="1" applyFill="1" applyBorder="1" applyAlignment="1">
      <alignment horizontal="center" vertical="center" wrapText="1"/>
    </xf>
    <xf numFmtId="0" fontId="17" fillId="21" borderId="1" xfId="1" applyFont="1" applyFill="1" applyBorder="1" applyAlignment="1">
      <alignment horizontal="left" vertical="center" wrapText="1"/>
    </xf>
    <xf numFmtId="0" fontId="17" fillId="21" borderId="16" xfId="18" applyFont="1" applyFill="1" applyBorder="1" applyAlignment="1">
      <alignment horizontal="center" vertical="center" wrapText="1"/>
    </xf>
    <xf numFmtId="14" fontId="15" fillId="21" borderId="0" xfId="0" applyNumberFormat="1" applyFont="1" applyFill="1" applyAlignment="1">
      <alignment horizontal="center" vertical="center"/>
    </xf>
    <xf numFmtId="0" fontId="15" fillId="21" borderId="0" xfId="0" applyFont="1" applyFill="1"/>
    <xf numFmtId="0" fontId="1" fillId="0" borderId="12" xfId="14" applyFont="1" applyFill="1" applyBorder="1" applyAlignment="1">
      <alignment horizontal="left" vertical="center" wrapText="1"/>
    </xf>
    <xf numFmtId="0" fontId="6" fillId="0" borderId="7" xfId="7" applyFont="1" applyFill="1" applyBorder="1" applyAlignment="1">
      <alignment horizontal="left" vertical="center" wrapText="1"/>
    </xf>
    <xf numFmtId="0" fontId="1" fillId="0" borderId="16" xfId="18" applyFont="1" applyFill="1" applyBorder="1" applyAlignment="1">
      <alignment horizontal="center" vertical="center" wrapText="1"/>
    </xf>
    <xf numFmtId="14" fontId="0" fillId="0" borderId="0" xfId="0" applyNumberFormat="1" applyFill="1" applyAlignment="1">
      <alignment horizontal="center" vertical="center"/>
    </xf>
    <xf numFmtId="0" fontId="1" fillId="0" borderId="1" xfId="1" applyFont="1" applyFill="1" applyBorder="1" applyAlignment="1">
      <alignment horizontal="left" vertical="center" wrapText="1"/>
    </xf>
    <xf numFmtId="0" fontId="1" fillId="0" borderId="3" xfId="3" applyNumberFormat="1" applyFont="1" applyFill="1" applyBorder="1" applyAlignment="1">
      <alignment horizontal="center" vertical="center" wrapText="1"/>
    </xf>
    <xf numFmtId="0" fontId="16" fillId="0" borderId="0" xfId="20"/>
  </cellXfs>
  <cellStyles count="7">
    <cellStyle name="Hipervínculo" xfId="20" builtinId="8"/>
    <cellStyle name="Millares" xfId="5" builtinId="3"/>
    <cellStyle name="Millares [0]" xfId="4" builtinId="6"/>
    <cellStyle name="Moneda [0]" xfId="3" builtinId="7"/>
    <cellStyle name="Normal" xfId="0" builtinId="0"/>
    <cellStyle name="Porcentaje" xfId="2" builtinId="5"/>
    <cellStyle name="Título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IA-DataFlow-Hub/docs/tree/main/Requisitos%20para%20aprobar%20el%20semillero/6%20-%20Entregas%20Parciales/Entregable%203" TargetMode="External"/><Relationship Id="rId2" Type="http://schemas.openxmlformats.org/officeDocument/2006/relationships/hyperlink" Target="https://github.com/IA-DataFlow-Hub/docs/tree/main/Requisitos%20para%20aprobar%20el%20semillero/6%20-%20Entregas%20Parciales/Entregable%203" TargetMode="External"/><Relationship Id="rId1" Type="http://schemas.openxmlformats.org/officeDocument/2006/relationships/hyperlink" Target="https://github.com/IA-DataFlow-Hub/docs/tree/main/Requisitos%20para%20aprobar%20el%20semillero/6%20-%20Entregas%20Parciales/Entregable%203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33"/>
  <sheetViews>
    <sheetView tabSelected="1" topLeftCell="B1" workbookViewId="0">
      <pane ySplit="9" topLeftCell="A10" activePane="bottomLeft" state="frozen"/>
      <selection pane="bottomLeft" activeCell="D35" sqref="D35"/>
    </sheetView>
  </sheetViews>
  <sheetFormatPr baseColWidth="10" defaultColWidth="8.7109375" defaultRowHeight="15" customHeight="1" x14ac:dyDescent="0.25"/>
  <cols>
    <col min="1" max="1" width="10.42578125" customWidth="1"/>
    <col min="2" max="2" width="13.42578125" customWidth="1"/>
    <col min="3" max="3" width="54.5703125" customWidth="1"/>
    <col min="4" max="4" width="32.140625" customWidth="1"/>
    <col min="5" max="5" width="11.28515625" customWidth="1"/>
    <col min="6" max="6" width="67.7109375" bestFit="1" customWidth="1"/>
    <col min="7" max="7" width="14.28515625" customWidth="1"/>
    <col min="8" max="9" width="10.7109375" customWidth="1"/>
    <col min="10" max="10" width="17.5703125" customWidth="1"/>
    <col min="11" max="11" width="10.7109375" customWidth="1"/>
    <col min="12" max="12" width="10.140625" customWidth="1"/>
    <col min="13" max="13" width="14.7109375" customWidth="1"/>
    <col min="14" max="14" width="18.42578125" customWidth="1"/>
    <col min="15" max="15" width="66.5703125" bestFit="1" customWidth="1"/>
  </cols>
  <sheetData>
    <row r="1" spans="1:15" ht="15" customHeight="1" x14ac:dyDescent="0.2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 ht="15" customHeight="1" x14ac:dyDescent="0.25">
      <c r="A2" s="19" t="s">
        <v>0</v>
      </c>
      <c r="B2" s="18" t="s">
        <v>1</v>
      </c>
      <c r="C2" s="18"/>
      <c r="D2" s="18"/>
      <c r="E2" s="18"/>
      <c r="F2" s="18"/>
      <c r="G2" s="18"/>
      <c r="H2" s="18"/>
      <c r="I2" s="18"/>
      <c r="J2" s="18"/>
      <c r="K2" s="17" t="s">
        <v>2</v>
      </c>
      <c r="L2" s="17"/>
      <c r="M2" s="17"/>
      <c r="N2" s="17"/>
      <c r="O2" s="17"/>
    </row>
    <row r="3" spans="1:15" ht="15" customHeight="1" x14ac:dyDescent="0.25">
      <c r="A3" s="19"/>
      <c r="B3" s="19"/>
      <c r="C3" s="18"/>
      <c r="D3" s="18"/>
      <c r="E3" s="18"/>
      <c r="F3" s="18"/>
      <c r="G3" s="18"/>
      <c r="H3" s="18"/>
      <c r="I3" s="18"/>
      <c r="J3" s="18"/>
      <c r="K3" s="16" t="s">
        <v>3</v>
      </c>
      <c r="L3" s="16"/>
      <c r="M3" s="16"/>
      <c r="N3" s="16"/>
      <c r="O3" s="16"/>
    </row>
    <row r="4" spans="1:15" ht="15" customHeight="1" x14ac:dyDescent="0.25">
      <c r="A4" s="19"/>
      <c r="B4" s="15" t="s">
        <v>4</v>
      </c>
      <c r="C4" s="15"/>
      <c r="D4" s="15"/>
      <c r="E4" s="15"/>
      <c r="F4" s="15"/>
      <c r="G4" s="15"/>
      <c r="H4" s="15"/>
      <c r="I4" s="15"/>
      <c r="J4" s="15"/>
      <c r="K4" s="14" t="s">
        <v>5</v>
      </c>
      <c r="L4" s="14"/>
      <c r="M4" s="14"/>
      <c r="N4" s="14"/>
      <c r="O4" s="14"/>
    </row>
    <row r="5" spans="1:15" ht="15" customHeight="1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ht="15" customHeight="1" x14ac:dyDescent="0.25">
      <c r="A6" s="8" t="s">
        <v>6</v>
      </c>
      <c r="B6" s="13" t="s">
        <v>7</v>
      </c>
      <c r="C6" s="13"/>
      <c r="D6" s="13"/>
      <c r="F6" s="8" t="s">
        <v>8</v>
      </c>
      <c r="G6" s="13" t="s">
        <v>9</v>
      </c>
      <c r="H6" s="13"/>
      <c r="I6" s="13"/>
      <c r="J6" s="8" t="s">
        <v>10</v>
      </c>
      <c r="K6" s="13" t="s">
        <v>11</v>
      </c>
      <c r="L6" s="13"/>
      <c r="M6" s="8" t="s">
        <v>12</v>
      </c>
      <c r="N6" s="13" t="s">
        <v>13</v>
      </c>
      <c r="O6" s="13"/>
    </row>
    <row r="7" spans="1:15" ht="15" customHeight="1" x14ac:dyDescent="0.25">
      <c r="A7" s="10" t="s">
        <v>14</v>
      </c>
      <c r="B7" s="12" t="s">
        <v>15</v>
      </c>
      <c r="C7" s="12"/>
      <c r="D7" s="10" t="s">
        <v>16</v>
      </c>
      <c r="E7" s="12" t="s">
        <v>17</v>
      </c>
      <c r="F7" s="12"/>
      <c r="G7" s="10" t="s">
        <v>18</v>
      </c>
      <c r="H7" s="12" t="s">
        <v>19</v>
      </c>
      <c r="I7" s="12"/>
      <c r="J7" s="10" t="s">
        <v>20</v>
      </c>
      <c r="K7" s="12">
        <f>COUNTA(A10:A32)</f>
        <v>18</v>
      </c>
      <c r="L7" s="12"/>
      <c r="M7" s="10" t="s">
        <v>21</v>
      </c>
      <c r="N7" s="12">
        <f>COUNTIF(M10:M32,"✅ Completado")</f>
        <v>22</v>
      </c>
      <c r="O7" s="12"/>
    </row>
    <row r="8" spans="1:15" ht="15" customHeight="1" x14ac:dyDescent="0.25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spans="1:15" ht="39" customHeight="1" thickBot="1" x14ac:dyDescent="0.3">
      <c r="A9" s="13" t="s">
        <v>22</v>
      </c>
      <c r="B9" s="13" t="s">
        <v>23</v>
      </c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34</v>
      </c>
      <c r="N9" s="13" t="s">
        <v>35</v>
      </c>
      <c r="O9" s="13" t="s">
        <v>36</v>
      </c>
    </row>
    <row r="10" spans="1:15" ht="15" customHeight="1" x14ac:dyDescent="0.25">
      <c r="A10" s="11">
        <v>1</v>
      </c>
      <c r="B10" s="25" t="s">
        <v>37</v>
      </c>
      <c r="C10" s="25" t="s">
        <v>38</v>
      </c>
      <c r="D10" s="26" t="s">
        <v>39</v>
      </c>
      <c r="E10" s="27">
        <v>3</v>
      </c>
      <c r="F10" s="25" t="s">
        <v>40</v>
      </c>
      <c r="G10" s="28" t="s">
        <v>41</v>
      </c>
      <c r="H10" s="28" t="s">
        <v>42</v>
      </c>
      <c r="I10" s="28" t="s">
        <v>19</v>
      </c>
      <c r="J10" s="27" t="s">
        <v>43</v>
      </c>
      <c r="K10" s="27" t="s">
        <v>44</v>
      </c>
      <c r="L10" s="27">
        <v>1</v>
      </c>
      <c r="M10" s="27" t="s">
        <v>45</v>
      </c>
      <c r="N10" s="27" t="s">
        <v>46</v>
      </c>
      <c r="O10" s="25" t="s">
        <v>47</v>
      </c>
    </row>
    <row r="11" spans="1:15" ht="15" customHeight="1" x14ac:dyDescent="0.25">
      <c r="A11" s="15">
        <v>2</v>
      </c>
      <c r="B11" s="25" t="s">
        <v>37</v>
      </c>
      <c r="C11" s="29" t="s">
        <v>48</v>
      </c>
      <c r="D11" s="26" t="s">
        <v>39</v>
      </c>
      <c r="E11" s="27">
        <v>3</v>
      </c>
      <c r="F11" s="29" t="s">
        <v>49</v>
      </c>
      <c r="G11" s="28" t="s">
        <v>41</v>
      </c>
      <c r="H11" s="28" t="s">
        <v>42</v>
      </c>
      <c r="I11" s="28" t="s">
        <v>19</v>
      </c>
      <c r="J11" s="30" t="s">
        <v>43</v>
      </c>
      <c r="K11" s="27" t="s">
        <v>44</v>
      </c>
      <c r="L11" s="27">
        <v>1</v>
      </c>
      <c r="M11" s="27" t="s">
        <v>45</v>
      </c>
      <c r="N11" s="27" t="s">
        <v>46</v>
      </c>
      <c r="O11" s="25" t="s">
        <v>47</v>
      </c>
    </row>
    <row r="12" spans="1:15" ht="15" customHeight="1" x14ac:dyDescent="0.25">
      <c r="A12" s="11">
        <v>3</v>
      </c>
      <c r="B12" s="25" t="s">
        <v>37</v>
      </c>
      <c r="C12" s="25" t="s">
        <v>50</v>
      </c>
      <c r="D12" s="26" t="s">
        <v>39</v>
      </c>
      <c r="E12" s="27">
        <v>3</v>
      </c>
      <c r="F12" s="25" t="s">
        <v>51</v>
      </c>
      <c r="G12" s="28" t="s">
        <v>41</v>
      </c>
      <c r="H12" s="28" t="s">
        <v>42</v>
      </c>
      <c r="I12" s="28" t="s">
        <v>19</v>
      </c>
      <c r="J12" s="27" t="s">
        <v>43</v>
      </c>
      <c r="K12" s="27" t="s">
        <v>44</v>
      </c>
      <c r="L12" s="27">
        <v>1</v>
      </c>
      <c r="M12" s="27" t="s">
        <v>45</v>
      </c>
      <c r="N12" s="27" t="s">
        <v>46</v>
      </c>
      <c r="O12" s="25" t="s">
        <v>47</v>
      </c>
    </row>
    <row r="13" spans="1:15" ht="15" customHeight="1" x14ac:dyDescent="0.25">
      <c r="A13" s="15">
        <v>4</v>
      </c>
      <c r="B13" s="25" t="s">
        <v>37</v>
      </c>
      <c r="C13" s="29" t="s">
        <v>52</v>
      </c>
      <c r="D13" s="26" t="s">
        <v>39</v>
      </c>
      <c r="E13" s="27">
        <v>3</v>
      </c>
      <c r="F13" s="29" t="s">
        <v>53</v>
      </c>
      <c r="G13" s="28" t="s">
        <v>41</v>
      </c>
      <c r="H13" s="28" t="s">
        <v>42</v>
      </c>
      <c r="I13" s="28" t="s">
        <v>19</v>
      </c>
      <c r="J13" s="27" t="s">
        <v>43</v>
      </c>
      <c r="K13" s="27" t="s">
        <v>44</v>
      </c>
      <c r="L13" s="27">
        <v>1</v>
      </c>
      <c r="M13" s="27" t="s">
        <v>45</v>
      </c>
      <c r="N13" s="27" t="s">
        <v>46</v>
      </c>
      <c r="O13" s="25" t="s">
        <v>47</v>
      </c>
    </row>
    <row r="14" spans="1:15" ht="15" customHeight="1" x14ac:dyDescent="0.25">
      <c r="A14" s="11">
        <v>5</v>
      </c>
      <c r="B14" s="25" t="s">
        <v>37</v>
      </c>
      <c r="C14" s="25" t="s">
        <v>54</v>
      </c>
      <c r="D14" s="26" t="s">
        <v>39</v>
      </c>
      <c r="E14" s="27">
        <v>3</v>
      </c>
      <c r="F14" s="25" t="s">
        <v>55</v>
      </c>
      <c r="G14" s="28" t="s">
        <v>41</v>
      </c>
      <c r="H14" s="28" t="s">
        <v>42</v>
      </c>
      <c r="I14" s="28" t="s">
        <v>19</v>
      </c>
      <c r="J14" s="30" t="s">
        <v>43</v>
      </c>
      <c r="K14" s="27" t="s">
        <v>44</v>
      </c>
      <c r="L14" s="27">
        <v>1</v>
      </c>
      <c r="M14" s="27" t="s">
        <v>45</v>
      </c>
      <c r="N14" s="27" t="s">
        <v>46</v>
      </c>
      <c r="O14" s="25" t="s">
        <v>47</v>
      </c>
    </row>
    <row r="15" spans="1:15" ht="15" customHeight="1" x14ac:dyDescent="0.25">
      <c r="A15" s="15">
        <v>6</v>
      </c>
      <c r="B15" s="25" t="s">
        <v>37</v>
      </c>
      <c r="C15" s="29" t="s">
        <v>56</v>
      </c>
      <c r="D15" s="26" t="s">
        <v>39</v>
      </c>
      <c r="E15" s="27">
        <v>3</v>
      </c>
      <c r="F15" s="29" t="s">
        <v>57</v>
      </c>
      <c r="G15" s="28" t="s">
        <v>41</v>
      </c>
      <c r="H15" s="28" t="s">
        <v>42</v>
      </c>
      <c r="I15" s="28" t="s">
        <v>19</v>
      </c>
      <c r="J15" s="27" t="s">
        <v>43</v>
      </c>
      <c r="K15" s="27" t="s">
        <v>44</v>
      </c>
      <c r="L15" s="27">
        <v>1</v>
      </c>
      <c r="M15" s="27" t="s">
        <v>45</v>
      </c>
      <c r="N15" s="27" t="s">
        <v>46</v>
      </c>
      <c r="O15" s="25" t="s">
        <v>47</v>
      </c>
    </row>
    <row r="16" spans="1:15" ht="15" customHeight="1" x14ac:dyDescent="0.25">
      <c r="A16" s="11">
        <v>7</v>
      </c>
      <c r="B16" s="25" t="s">
        <v>37</v>
      </c>
      <c r="C16" s="25" t="s">
        <v>58</v>
      </c>
      <c r="D16" s="26" t="s">
        <v>39</v>
      </c>
      <c r="E16" s="27">
        <v>3</v>
      </c>
      <c r="F16" s="25" t="s">
        <v>46</v>
      </c>
      <c r="G16" s="28" t="s">
        <v>41</v>
      </c>
      <c r="H16" s="28" t="s">
        <v>42</v>
      </c>
      <c r="I16" s="28" t="s">
        <v>19</v>
      </c>
      <c r="J16" s="27" t="s">
        <v>43</v>
      </c>
      <c r="K16" s="27" t="s">
        <v>44</v>
      </c>
      <c r="L16" s="27">
        <v>1</v>
      </c>
      <c r="M16" s="27" t="s">
        <v>45</v>
      </c>
      <c r="N16" s="27" t="s">
        <v>46</v>
      </c>
      <c r="O16" s="25" t="s">
        <v>47</v>
      </c>
    </row>
    <row r="17" spans="1:15" ht="15" customHeight="1" x14ac:dyDescent="0.25">
      <c r="A17" s="15">
        <v>10</v>
      </c>
      <c r="B17" s="29" t="s">
        <v>59</v>
      </c>
      <c r="C17" s="29" t="s">
        <v>60</v>
      </c>
      <c r="D17" s="26" t="s">
        <v>61</v>
      </c>
      <c r="E17" s="27">
        <v>3</v>
      </c>
      <c r="F17" s="29" t="s">
        <v>62</v>
      </c>
      <c r="G17" s="28" t="s">
        <v>63</v>
      </c>
      <c r="H17" s="28" t="s">
        <v>64</v>
      </c>
      <c r="I17" s="28" t="s">
        <v>65</v>
      </c>
      <c r="J17" s="27" t="s">
        <v>43</v>
      </c>
      <c r="K17" s="27" t="s">
        <v>44</v>
      </c>
      <c r="L17" s="27">
        <v>1</v>
      </c>
      <c r="M17" s="27" t="s">
        <v>45</v>
      </c>
      <c r="N17" s="27" t="s">
        <v>46</v>
      </c>
      <c r="O17" s="25" t="s">
        <v>47</v>
      </c>
    </row>
    <row r="18" spans="1:15" ht="15" customHeight="1" x14ac:dyDescent="0.25">
      <c r="A18" s="11">
        <v>11</v>
      </c>
      <c r="B18" s="25" t="s">
        <v>59</v>
      </c>
      <c r="C18" s="25" t="s">
        <v>66</v>
      </c>
      <c r="D18" s="26" t="s">
        <v>61</v>
      </c>
      <c r="E18" s="27">
        <v>3</v>
      </c>
      <c r="F18" s="25" t="s">
        <v>62</v>
      </c>
      <c r="G18" s="28" t="s">
        <v>63</v>
      </c>
      <c r="H18" s="28" t="s">
        <v>64</v>
      </c>
      <c r="I18" s="28" t="s">
        <v>67</v>
      </c>
      <c r="J18" s="30" t="s">
        <v>43</v>
      </c>
      <c r="K18" s="27" t="s">
        <v>44</v>
      </c>
      <c r="L18" s="27">
        <v>1</v>
      </c>
      <c r="M18" s="27" t="s">
        <v>45</v>
      </c>
      <c r="N18" s="27" t="s">
        <v>46</v>
      </c>
      <c r="O18" s="25" t="s">
        <v>47</v>
      </c>
    </row>
    <row r="19" spans="1:15" ht="15" customHeight="1" x14ac:dyDescent="0.25">
      <c r="A19" s="15">
        <v>12</v>
      </c>
      <c r="B19" s="29" t="s">
        <v>68</v>
      </c>
      <c r="C19" s="29" t="s">
        <v>69</v>
      </c>
      <c r="D19" s="26" t="s">
        <v>61</v>
      </c>
      <c r="E19" s="27">
        <v>3</v>
      </c>
      <c r="F19" s="29" t="s">
        <v>70</v>
      </c>
      <c r="G19" s="28" t="s">
        <v>63</v>
      </c>
      <c r="H19" s="28" t="s">
        <v>64</v>
      </c>
      <c r="I19" s="28" t="s">
        <v>71</v>
      </c>
      <c r="J19" s="27" t="s">
        <v>43</v>
      </c>
      <c r="K19" s="27" t="s">
        <v>44</v>
      </c>
      <c r="L19" s="27">
        <v>1</v>
      </c>
      <c r="M19" s="27" t="s">
        <v>45</v>
      </c>
      <c r="N19" s="27" t="s">
        <v>46</v>
      </c>
      <c r="O19" s="25" t="s">
        <v>47</v>
      </c>
    </row>
    <row r="20" spans="1:15" ht="15" customHeight="1" x14ac:dyDescent="0.25">
      <c r="A20" s="11">
        <v>13</v>
      </c>
      <c r="B20" s="25" t="s">
        <v>72</v>
      </c>
      <c r="C20" s="25" t="s">
        <v>73</v>
      </c>
      <c r="D20" s="26" t="s">
        <v>61</v>
      </c>
      <c r="E20" s="27">
        <v>3</v>
      </c>
      <c r="F20" s="25" t="s">
        <v>74</v>
      </c>
      <c r="G20" s="28" t="s">
        <v>63</v>
      </c>
      <c r="H20" s="28" t="s">
        <v>64</v>
      </c>
      <c r="I20" s="28" t="s">
        <v>75</v>
      </c>
      <c r="J20" s="27" t="s">
        <v>43</v>
      </c>
      <c r="K20" s="27" t="s">
        <v>44</v>
      </c>
      <c r="L20" s="27">
        <v>1</v>
      </c>
      <c r="M20" s="27" t="s">
        <v>45</v>
      </c>
      <c r="N20" s="27" t="s">
        <v>46</v>
      </c>
      <c r="O20" s="25" t="s">
        <v>47</v>
      </c>
    </row>
    <row r="21" spans="1:15" ht="15" customHeight="1" x14ac:dyDescent="0.25">
      <c r="A21" s="15">
        <v>14</v>
      </c>
      <c r="B21" s="29" t="s">
        <v>76</v>
      </c>
      <c r="C21" s="29" t="s">
        <v>77</v>
      </c>
      <c r="D21" s="26" t="s">
        <v>61</v>
      </c>
      <c r="E21" s="27">
        <v>3</v>
      </c>
      <c r="F21" s="29" t="s">
        <v>70</v>
      </c>
      <c r="G21" s="28" t="s">
        <v>63</v>
      </c>
      <c r="H21" s="28" t="s">
        <v>64</v>
      </c>
      <c r="I21" s="28" t="s">
        <v>78</v>
      </c>
      <c r="J21" s="30" t="s">
        <v>43</v>
      </c>
      <c r="K21" s="27" t="s">
        <v>44</v>
      </c>
      <c r="L21" s="27">
        <v>1</v>
      </c>
      <c r="M21" s="30" t="s">
        <v>45</v>
      </c>
      <c r="N21" s="27" t="s">
        <v>46</v>
      </c>
      <c r="O21" s="25" t="s">
        <v>47</v>
      </c>
    </row>
    <row r="22" spans="1:15" ht="15" customHeight="1" x14ac:dyDescent="0.25">
      <c r="A22" s="11">
        <v>15</v>
      </c>
      <c r="B22" s="25" t="s">
        <v>76</v>
      </c>
      <c r="C22" s="25" t="s">
        <v>79</v>
      </c>
      <c r="D22" s="26" t="s">
        <v>61</v>
      </c>
      <c r="E22" s="27">
        <v>3</v>
      </c>
      <c r="F22" s="25" t="s">
        <v>70</v>
      </c>
      <c r="G22" s="28" t="s">
        <v>63</v>
      </c>
      <c r="H22" s="28" t="s">
        <v>64</v>
      </c>
      <c r="I22" s="28" t="s">
        <v>80</v>
      </c>
      <c r="J22" s="27" t="s">
        <v>43</v>
      </c>
      <c r="K22" s="27" t="s">
        <v>44</v>
      </c>
      <c r="L22" s="27">
        <v>1</v>
      </c>
      <c r="M22" s="27" t="s">
        <v>45</v>
      </c>
      <c r="N22" s="27" t="s">
        <v>46</v>
      </c>
      <c r="O22" s="25" t="s">
        <v>47</v>
      </c>
    </row>
    <row r="23" spans="1:15" ht="15" customHeight="1" x14ac:dyDescent="0.25">
      <c r="A23" s="15">
        <v>16</v>
      </c>
      <c r="B23" s="29" t="s">
        <v>76</v>
      </c>
      <c r="C23" s="29" t="s">
        <v>81</v>
      </c>
      <c r="D23" s="26" t="s">
        <v>61</v>
      </c>
      <c r="E23" s="27">
        <v>3</v>
      </c>
      <c r="F23" s="29" t="s">
        <v>62</v>
      </c>
      <c r="G23" s="28" t="s">
        <v>63</v>
      </c>
      <c r="H23" s="28" t="s">
        <v>64</v>
      </c>
      <c r="I23" s="28" t="s">
        <v>82</v>
      </c>
      <c r="J23" s="27" t="s">
        <v>43</v>
      </c>
      <c r="K23" s="27" t="s">
        <v>44</v>
      </c>
      <c r="L23" s="27">
        <v>1</v>
      </c>
      <c r="M23" s="30" t="s">
        <v>45</v>
      </c>
      <c r="N23" s="27" t="s">
        <v>46</v>
      </c>
      <c r="O23" s="25" t="s">
        <v>47</v>
      </c>
    </row>
    <row r="24" spans="1:15" ht="15" customHeight="1" x14ac:dyDescent="0.25">
      <c r="A24" s="11">
        <v>17</v>
      </c>
      <c r="B24" s="25" t="s">
        <v>76</v>
      </c>
      <c r="C24" s="25" t="s">
        <v>83</v>
      </c>
      <c r="D24" s="26" t="s">
        <v>61</v>
      </c>
      <c r="E24" s="27">
        <v>3</v>
      </c>
      <c r="F24" s="25" t="s">
        <v>74</v>
      </c>
      <c r="G24" s="28" t="s">
        <v>63</v>
      </c>
      <c r="H24" s="28" t="s">
        <v>64</v>
      </c>
      <c r="I24" s="28" t="s">
        <v>84</v>
      </c>
      <c r="J24" s="30" t="s">
        <v>43</v>
      </c>
      <c r="K24" s="27" t="s">
        <v>44</v>
      </c>
      <c r="L24" s="27">
        <v>1</v>
      </c>
      <c r="M24" s="27" t="s">
        <v>45</v>
      </c>
      <c r="N24" s="27" t="s">
        <v>46</v>
      </c>
      <c r="O24" s="25" t="s">
        <v>47</v>
      </c>
    </row>
    <row r="25" spans="1:15" ht="15" customHeight="1" x14ac:dyDescent="0.25">
      <c r="A25" s="15">
        <v>18</v>
      </c>
      <c r="B25" s="29" t="s">
        <v>76</v>
      </c>
      <c r="C25" s="29" t="s">
        <v>85</v>
      </c>
      <c r="D25" s="26" t="s">
        <v>61</v>
      </c>
      <c r="E25" s="27">
        <v>3</v>
      </c>
      <c r="F25" s="29" t="s">
        <v>86</v>
      </c>
      <c r="G25" s="28" t="s">
        <v>63</v>
      </c>
      <c r="H25" s="28" t="s">
        <v>64</v>
      </c>
      <c r="I25" s="28" t="s">
        <v>87</v>
      </c>
      <c r="J25" s="27" t="s">
        <v>43</v>
      </c>
      <c r="K25" s="27" t="s">
        <v>44</v>
      </c>
      <c r="L25" s="27">
        <v>1</v>
      </c>
      <c r="M25" s="30" t="s">
        <v>45</v>
      </c>
      <c r="N25" s="27" t="s">
        <v>46</v>
      </c>
      <c r="O25" s="25" t="s">
        <v>88</v>
      </c>
    </row>
    <row r="26" spans="1:15" ht="15" customHeight="1" x14ac:dyDescent="0.25">
      <c r="A26" s="11">
        <v>19</v>
      </c>
      <c r="B26" s="25" t="s">
        <v>76</v>
      </c>
      <c r="C26" s="25" t="s">
        <v>89</v>
      </c>
      <c r="D26" s="26" t="s">
        <v>61</v>
      </c>
      <c r="E26" s="27">
        <v>3</v>
      </c>
      <c r="F26" s="25" t="s">
        <v>90</v>
      </c>
      <c r="G26" s="28" t="s">
        <v>63</v>
      </c>
      <c r="H26" s="28" t="s">
        <v>64</v>
      </c>
      <c r="I26" s="28" t="s">
        <v>91</v>
      </c>
      <c r="J26" s="27" t="s">
        <v>43</v>
      </c>
      <c r="K26" s="27" t="s">
        <v>44</v>
      </c>
      <c r="L26" s="27">
        <v>1</v>
      </c>
      <c r="M26" s="27" t="s">
        <v>45</v>
      </c>
      <c r="N26" s="27" t="s">
        <v>46</v>
      </c>
      <c r="O26" s="25" t="s">
        <v>47</v>
      </c>
    </row>
    <row r="27" spans="1:15" ht="15" customHeight="1" x14ac:dyDescent="0.25">
      <c r="A27" s="15">
        <v>20</v>
      </c>
      <c r="B27" s="29" t="s">
        <v>76</v>
      </c>
      <c r="C27" s="29" t="s">
        <v>92</v>
      </c>
      <c r="D27" s="26" t="s">
        <v>61</v>
      </c>
      <c r="E27" s="27">
        <v>3</v>
      </c>
      <c r="F27" s="29" t="s">
        <v>93</v>
      </c>
      <c r="G27" s="28" t="s">
        <v>63</v>
      </c>
      <c r="H27" s="28" t="s">
        <v>64</v>
      </c>
      <c r="I27" s="28" t="s">
        <v>94</v>
      </c>
      <c r="J27" s="30" t="s">
        <v>43</v>
      </c>
      <c r="K27" s="27" t="s">
        <v>44</v>
      </c>
      <c r="L27" s="30">
        <v>1</v>
      </c>
      <c r="M27" s="30" t="s">
        <v>45</v>
      </c>
      <c r="N27" s="27" t="s">
        <v>46</v>
      </c>
      <c r="O27" s="25" t="s">
        <v>47</v>
      </c>
    </row>
    <row r="28" spans="1:15" ht="15" customHeight="1" x14ac:dyDescent="0.25">
      <c r="A28" s="11"/>
      <c r="B28" s="25" t="s">
        <v>151</v>
      </c>
      <c r="C28" s="25" t="s">
        <v>142</v>
      </c>
      <c r="D28" s="31" t="s">
        <v>154</v>
      </c>
      <c r="E28" s="27">
        <v>3</v>
      </c>
      <c r="F28" s="25" t="s">
        <v>147</v>
      </c>
      <c r="G28" s="28">
        <v>46086</v>
      </c>
      <c r="H28" s="28">
        <v>46270</v>
      </c>
      <c r="I28" s="28">
        <v>46271</v>
      </c>
      <c r="J28" s="27" t="s">
        <v>145</v>
      </c>
      <c r="K28" s="27" t="s">
        <v>44</v>
      </c>
      <c r="L28" s="27">
        <v>1</v>
      </c>
      <c r="M28" s="30" t="s">
        <v>45</v>
      </c>
      <c r="N28" s="27" t="s">
        <v>46</v>
      </c>
      <c r="O28" s="25" t="s">
        <v>146</v>
      </c>
    </row>
    <row r="29" spans="1:15" ht="15" customHeight="1" x14ac:dyDescent="0.25">
      <c r="A29" s="15"/>
      <c r="B29" s="29" t="s">
        <v>152</v>
      </c>
      <c r="C29" s="29" t="s">
        <v>143</v>
      </c>
      <c r="D29" s="31" t="s">
        <v>154</v>
      </c>
      <c r="E29" s="27">
        <v>3</v>
      </c>
      <c r="F29" s="25" t="s">
        <v>57</v>
      </c>
      <c r="G29" s="28">
        <v>46086</v>
      </c>
      <c r="H29" s="28">
        <v>46270</v>
      </c>
      <c r="I29" s="28">
        <v>46271</v>
      </c>
      <c r="J29" s="27" t="s">
        <v>145</v>
      </c>
      <c r="K29" s="27" t="s">
        <v>44</v>
      </c>
      <c r="L29" s="27">
        <v>1</v>
      </c>
      <c r="M29" s="30" t="s">
        <v>45</v>
      </c>
      <c r="N29" s="27" t="s">
        <v>46</v>
      </c>
      <c r="O29" s="25" t="s">
        <v>47</v>
      </c>
    </row>
    <row r="30" spans="1:15" ht="15" customHeight="1" x14ac:dyDescent="0.25">
      <c r="A30" s="11"/>
      <c r="B30" s="29" t="s">
        <v>152</v>
      </c>
      <c r="C30" s="25" t="s">
        <v>144</v>
      </c>
      <c r="D30" s="31" t="s">
        <v>154</v>
      </c>
      <c r="E30" s="27">
        <v>3</v>
      </c>
      <c r="F30" s="25" t="s">
        <v>57</v>
      </c>
      <c r="G30" s="28">
        <v>46086</v>
      </c>
      <c r="H30" s="28">
        <v>46270</v>
      </c>
      <c r="I30" s="28">
        <v>46271</v>
      </c>
      <c r="J30" s="27" t="s">
        <v>145</v>
      </c>
      <c r="K30" s="27" t="s">
        <v>44</v>
      </c>
      <c r="L30" s="30">
        <v>1</v>
      </c>
      <c r="M30" s="30" t="s">
        <v>45</v>
      </c>
      <c r="N30" s="27" t="s">
        <v>46</v>
      </c>
      <c r="O30" s="25" t="s">
        <v>47</v>
      </c>
    </row>
    <row r="31" spans="1:15" s="24" customFormat="1" ht="15" customHeight="1" x14ac:dyDescent="0.25">
      <c r="A31" s="20"/>
      <c r="B31" s="21" t="s">
        <v>153</v>
      </c>
      <c r="C31" s="21" t="s">
        <v>148</v>
      </c>
      <c r="D31" s="21"/>
      <c r="E31" s="22">
        <v>3</v>
      </c>
      <c r="F31" s="21" t="s">
        <v>149</v>
      </c>
      <c r="G31" s="23">
        <v>46086</v>
      </c>
      <c r="H31" s="23">
        <v>46270</v>
      </c>
      <c r="I31" s="23"/>
      <c r="J31" s="22" t="s">
        <v>145</v>
      </c>
      <c r="K31" s="22" t="s">
        <v>44</v>
      </c>
      <c r="L31" s="22">
        <v>1</v>
      </c>
      <c r="M31" s="20" t="s">
        <v>45</v>
      </c>
      <c r="N31" s="22" t="s">
        <v>46</v>
      </c>
      <c r="O31" s="21" t="s">
        <v>150</v>
      </c>
    </row>
    <row r="32" spans="1:15" ht="15" customHeight="1" thickBot="1" x14ac:dyDescent="0.3">
      <c r="A32" s="11"/>
      <c r="B32" s="14"/>
      <c r="C32" s="14"/>
      <c r="D32" s="14"/>
      <c r="E32" s="11"/>
      <c r="F32" s="14"/>
      <c r="G32" s="11"/>
      <c r="H32" s="11"/>
      <c r="I32" s="11"/>
      <c r="J32" s="11"/>
      <c r="K32" s="11"/>
      <c r="L32" s="11"/>
      <c r="M32" s="11"/>
      <c r="N32" s="11"/>
      <c r="O32" s="14"/>
    </row>
    <row r="33" spans="1:15" ht="15.75" customHeight="1" x14ac:dyDescent="0.25">
      <c r="A33" s="2" t="s">
        <v>95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17">
        <f>IFERROR(AVERAGEIF(L10:L32,"&gt;0",L10:L32),0)</f>
        <v>1</v>
      </c>
      <c r="M33" s="18"/>
      <c r="N33" s="18"/>
      <c r="O33" s="18"/>
    </row>
  </sheetData>
  <mergeCells count="16">
    <mergeCell ref="A33:K33"/>
    <mergeCell ref="B6:D6"/>
    <mergeCell ref="G6:I6"/>
    <mergeCell ref="K6:L6"/>
    <mergeCell ref="N6:O6"/>
    <mergeCell ref="B7:C7"/>
    <mergeCell ref="E7:F7"/>
    <mergeCell ref="H7:I7"/>
    <mergeCell ref="K7:L7"/>
    <mergeCell ref="N7:O7"/>
    <mergeCell ref="A2:A4"/>
    <mergeCell ref="B2:J3"/>
    <mergeCell ref="K2:O2"/>
    <mergeCell ref="K3:O3"/>
    <mergeCell ref="B4:J4"/>
    <mergeCell ref="K4:O4"/>
  </mergeCells>
  <phoneticPr fontId="0" type="noConversion"/>
  <hyperlinks>
    <hyperlink ref="D28" r:id="rId1" tooltip="Entregable 3" display="https://github.com/IA-DataFlow-Hub/docs/tree/main/Requisitos para aprobar el semillero/6 - Entregas Parciales/Entregable 3" xr:uid="{717E635B-02DC-4654-858B-0C3CF6195584}"/>
    <hyperlink ref="D29" r:id="rId2" tooltip="Entregable 3" display="https://github.com/IA-DataFlow-Hub/docs/tree/main/Requisitos para aprobar el semillero/6 - Entregas Parciales/Entregable 3" xr:uid="{5CA9E379-F4E5-4322-890C-EB26CFA0D350}"/>
    <hyperlink ref="D30" r:id="rId3" tooltip="Entregable 3" display="https://github.com/IA-DataFlow-Hub/docs/tree/main/Requisitos para aprobar el semillero/6 - Entregas Parciales/Entregable 3" xr:uid="{3F97DE31-EE13-4EDA-8237-EF249DA92A1B}"/>
  </hyperlinks>
  <pageMargins left="0.75" right="0.75" top="0.75" bottom="0.75" header="0.25" footer="0.25"/>
  <pageSetup paperSize="7" scale="31" fitToHeight="0" orientation="landscape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9"/>
  <sheetViews>
    <sheetView workbookViewId="0"/>
  </sheetViews>
  <sheetFormatPr baseColWidth="10" defaultColWidth="8.7109375" defaultRowHeight="15" customHeight="1" x14ac:dyDescent="0.25"/>
  <sheetData>
    <row r="1" spans="1:1" ht="15" customHeight="1" x14ac:dyDescent="0.25">
      <c r="A1" s="9" t="s">
        <v>70</v>
      </c>
    </row>
    <row r="2" spans="1:1" ht="15" customHeight="1" x14ac:dyDescent="0.25">
      <c r="A2" s="9" t="s">
        <v>74</v>
      </c>
    </row>
    <row r="3" spans="1:1" ht="15" customHeight="1" x14ac:dyDescent="0.25">
      <c r="A3" s="9" t="s">
        <v>62</v>
      </c>
    </row>
    <row r="4" spans="1:1" ht="15" customHeight="1" x14ac:dyDescent="0.25">
      <c r="A4" s="9" t="s">
        <v>96</v>
      </c>
    </row>
    <row r="5" spans="1:1" ht="15" customHeight="1" x14ac:dyDescent="0.25">
      <c r="A5" s="9" t="s">
        <v>93</v>
      </c>
    </row>
    <row r="6" spans="1:1" ht="15" customHeight="1" x14ac:dyDescent="0.25">
      <c r="A6" s="9" t="s">
        <v>86</v>
      </c>
    </row>
    <row r="7" spans="1:1" ht="15" customHeight="1" x14ac:dyDescent="0.25">
      <c r="A7" s="9" t="s">
        <v>90</v>
      </c>
    </row>
    <row r="8" spans="1:1" ht="15" customHeight="1" x14ac:dyDescent="0.25">
      <c r="A8" s="9" t="s">
        <v>46</v>
      </c>
    </row>
    <row r="9" spans="1:1" ht="15" customHeight="1" x14ac:dyDescent="0.25">
      <c r="A9" s="9" t="s">
        <v>9</v>
      </c>
    </row>
  </sheetData>
  <phoneticPr fontId="0" type="noConversion"/>
  <pageMargins left="0.75" right="0.75" top="0.75" bottom="0.75" header="0.25" footer="0.2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2"/>
  <sheetViews>
    <sheetView workbookViewId="0"/>
  </sheetViews>
  <sheetFormatPr baseColWidth="10" defaultColWidth="8.7109375" defaultRowHeight="15" customHeight="1" x14ac:dyDescent="0.25"/>
  <cols>
    <col min="1" max="1" width="4" customWidth="1"/>
    <col min="2" max="2" width="24" customWidth="1"/>
    <col min="3" max="3" width="56" customWidth="1"/>
    <col min="4" max="4" width="32" customWidth="1"/>
  </cols>
  <sheetData>
    <row r="1" spans="1:4" ht="9.75" customHeight="1" x14ac:dyDescent="0.25">
      <c r="A1" s="3"/>
      <c r="B1" s="3"/>
      <c r="C1" s="3"/>
      <c r="D1" s="3"/>
    </row>
    <row r="2" spans="1:4" ht="49.5" customHeight="1" x14ac:dyDescent="0.25">
      <c r="A2" s="11" t="s">
        <v>0</v>
      </c>
      <c r="B2" s="10" t="s">
        <v>97</v>
      </c>
      <c r="C2" s="10"/>
      <c r="D2" s="10"/>
    </row>
    <row r="3" spans="1:4" ht="19.5" customHeight="1" x14ac:dyDescent="0.25">
      <c r="A3" s="11"/>
      <c r="B3" s="15" t="s">
        <v>98</v>
      </c>
      <c r="C3" s="15"/>
      <c r="D3" s="15"/>
    </row>
    <row r="4" spans="1:4" ht="18" customHeight="1" x14ac:dyDescent="0.25">
      <c r="A4" s="11"/>
      <c r="B4" s="9" t="s">
        <v>99</v>
      </c>
      <c r="C4" s="9"/>
      <c r="D4" s="9"/>
    </row>
    <row r="5" spans="1:4" ht="4.5" customHeight="1" x14ac:dyDescent="0.25">
      <c r="A5" s="3"/>
      <c r="B5" s="3"/>
      <c r="C5" s="3"/>
      <c r="D5" s="3"/>
    </row>
    <row r="7" spans="1:4" ht="27.75" customHeight="1" x14ac:dyDescent="0.25">
      <c r="B7" s="19" t="s">
        <v>100</v>
      </c>
      <c r="C7" s="19" t="s">
        <v>101</v>
      </c>
      <c r="D7" s="19" t="s">
        <v>102</v>
      </c>
    </row>
    <row r="8" spans="1:4" ht="42" customHeight="1" x14ac:dyDescent="0.25">
      <c r="B8" s="7" t="s">
        <v>22</v>
      </c>
      <c r="C8" s="16" t="s">
        <v>103</v>
      </c>
      <c r="D8" s="6" t="s">
        <v>104</v>
      </c>
    </row>
    <row r="9" spans="1:4" ht="42" customHeight="1" x14ac:dyDescent="0.25">
      <c r="B9" s="5" t="s">
        <v>23</v>
      </c>
      <c r="C9" s="14" t="s">
        <v>105</v>
      </c>
      <c r="D9" s="4" t="s">
        <v>106</v>
      </c>
    </row>
    <row r="10" spans="1:4" ht="42" customHeight="1" x14ac:dyDescent="0.25">
      <c r="B10" s="7" t="s">
        <v>24</v>
      </c>
      <c r="C10" s="16" t="s">
        <v>107</v>
      </c>
      <c r="D10" s="6" t="s">
        <v>108</v>
      </c>
    </row>
    <row r="11" spans="1:4" ht="42" customHeight="1" x14ac:dyDescent="0.25">
      <c r="B11" s="5" t="s">
        <v>25</v>
      </c>
      <c r="C11" s="14" t="s">
        <v>109</v>
      </c>
      <c r="D11" s="4" t="s">
        <v>110</v>
      </c>
    </row>
    <row r="12" spans="1:4" ht="42" customHeight="1" x14ac:dyDescent="0.25">
      <c r="B12" s="7" t="s">
        <v>111</v>
      </c>
      <c r="C12" s="16" t="s">
        <v>112</v>
      </c>
      <c r="D12" s="6" t="s">
        <v>113</v>
      </c>
    </row>
    <row r="13" spans="1:4" ht="42" customHeight="1" x14ac:dyDescent="0.25">
      <c r="B13" s="5" t="s">
        <v>27</v>
      </c>
      <c r="C13" s="14" t="s">
        <v>114</v>
      </c>
      <c r="D13" s="4" t="s">
        <v>115</v>
      </c>
    </row>
    <row r="14" spans="1:4" ht="42" customHeight="1" x14ac:dyDescent="0.25">
      <c r="B14" s="7" t="s">
        <v>116</v>
      </c>
      <c r="C14" s="16" t="s">
        <v>117</v>
      </c>
      <c r="D14" s="6" t="s">
        <v>118</v>
      </c>
    </row>
    <row r="15" spans="1:4" ht="42" customHeight="1" x14ac:dyDescent="0.25">
      <c r="B15" s="5" t="s">
        <v>31</v>
      </c>
      <c r="C15" s="14" t="s">
        <v>119</v>
      </c>
      <c r="D15" s="4" t="s">
        <v>120</v>
      </c>
    </row>
    <row r="16" spans="1:4" ht="42" customHeight="1" x14ac:dyDescent="0.25">
      <c r="B16" s="7" t="s">
        <v>121</v>
      </c>
      <c r="C16" s="16" t="s">
        <v>122</v>
      </c>
      <c r="D16" s="6" t="s">
        <v>123</v>
      </c>
    </row>
    <row r="17" spans="2:4" ht="42" customHeight="1" x14ac:dyDescent="0.25">
      <c r="B17" s="5" t="s">
        <v>33</v>
      </c>
      <c r="C17" s="14" t="s">
        <v>124</v>
      </c>
      <c r="D17" s="4" t="s">
        <v>125</v>
      </c>
    </row>
    <row r="18" spans="2:4" ht="42" customHeight="1" x14ac:dyDescent="0.25">
      <c r="B18" s="7" t="s">
        <v>34</v>
      </c>
      <c r="C18" s="16" t="s">
        <v>126</v>
      </c>
      <c r="D18" s="6" t="s">
        <v>127</v>
      </c>
    </row>
    <row r="19" spans="2:4" ht="42" customHeight="1" x14ac:dyDescent="0.25">
      <c r="B19" s="5" t="s">
        <v>128</v>
      </c>
      <c r="C19" s="14" t="s">
        <v>129</v>
      </c>
      <c r="D19" s="4" t="s">
        <v>130</v>
      </c>
    </row>
    <row r="20" spans="2:4" ht="42" customHeight="1" x14ac:dyDescent="0.25">
      <c r="B20" s="7" t="s">
        <v>36</v>
      </c>
      <c r="C20" s="16" t="s">
        <v>131</v>
      </c>
      <c r="D20" s="6" t="s">
        <v>108</v>
      </c>
    </row>
    <row r="22" spans="2:4" ht="45.75" customHeight="1" x14ac:dyDescent="0.25">
      <c r="B22" s="8" t="s">
        <v>132</v>
      </c>
      <c r="C22" s="8"/>
      <c r="D22" s="8"/>
    </row>
    <row r="24" spans="2:4" ht="27.75" customHeight="1" x14ac:dyDescent="0.25">
      <c r="B24" s="6" t="s">
        <v>133</v>
      </c>
      <c r="C24" s="6"/>
      <c r="D24" s="6"/>
    </row>
    <row r="25" spans="2:4" ht="21.75" customHeight="1" x14ac:dyDescent="0.25">
      <c r="B25" s="13" t="s">
        <v>134</v>
      </c>
      <c r="C25" s="13"/>
      <c r="D25" s="13"/>
    </row>
    <row r="26" spans="2:4" ht="21.75" customHeight="1" x14ac:dyDescent="0.25">
      <c r="B26" s="1" t="s">
        <v>135</v>
      </c>
      <c r="C26" s="1"/>
      <c r="D26" s="1"/>
    </row>
    <row r="27" spans="2:4" ht="21.75" customHeight="1" x14ac:dyDescent="0.25">
      <c r="B27" s="13" t="s">
        <v>136</v>
      </c>
      <c r="C27" s="13"/>
      <c r="D27" s="13"/>
    </row>
    <row r="28" spans="2:4" ht="21.75" customHeight="1" x14ac:dyDescent="0.25">
      <c r="B28" s="1" t="s">
        <v>137</v>
      </c>
      <c r="C28" s="1"/>
      <c r="D28" s="1"/>
    </row>
    <row r="29" spans="2:4" ht="21.75" customHeight="1" x14ac:dyDescent="0.25">
      <c r="B29" s="13" t="s">
        <v>138</v>
      </c>
      <c r="C29" s="13"/>
      <c r="D29" s="13"/>
    </row>
    <row r="30" spans="2:4" ht="21.75" customHeight="1" x14ac:dyDescent="0.25">
      <c r="B30" s="1" t="s">
        <v>139</v>
      </c>
      <c r="C30" s="1"/>
      <c r="D30" s="1"/>
    </row>
    <row r="31" spans="2:4" ht="21.75" customHeight="1" x14ac:dyDescent="0.25">
      <c r="B31" s="13" t="s">
        <v>140</v>
      </c>
      <c r="C31" s="13"/>
      <c r="D31" s="13"/>
    </row>
    <row r="32" spans="2:4" ht="21.75" customHeight="1" x14ac:dyDescent="0.25">
      <c r="B32" s="7" t="s">
        <v>141</v>
      </c>
      <c r="C32" s="7"/>
      <c r="D32" s="7"/>
    </row>
  </sheetData>
  <mergeCells count="14">
    <mergeCell ref="B29:D29"/>
    <mergeCell ref="B30:D30"/>
    <mergeCell ref="B31:D31"/>
    <mergeCell ref="B32:D32"/>
    <mergeCell ref="B24:D24"/>
    <mergeCell ref="B25:D25"/>
    <mergeCell ref="B26:D26"/>
    <mergeCell ref="B27:D27"/>
    <mergeCell ref="B28:D28"/>
    <mergeCell ref="A2:A4"/>
    <mergeCell ref="B2:D2"/>
    <mergeCell ref="B3:D3"/>
    <mergeCell ref="B4:D4"/>
    <mergeCell ref="B22:D22"/>
  </mergeCells>
  <phoneticPr fontId="0" type="noConversion"/>
  <pageMargins left="0.75" right="0.75" top="0.75" bottom="0.75" header="0.25" footer="0.2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PLAN DE TRABAJO</vt:lpstr>
      <vt:lpstr>EQUIPO</vt:lpstr>
      <vt:lpstr>INSTRUCTIVO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Juan Diego Maestre</cp:lastModifiedBy>
  <cp:lastPrinted>2026-05-09T14:26:01Z</cp:lastPrinted>
  <dcterms:created xsi:type="dcterms:W3CDTF">2026-05-05T18:29:01Z</dcterms:created>
  <dcterms:modified xsi:type="dcterms:W3CDTF">2026-05-09T14:27:06Z</dcterms:modified>
</cp:coreProperties>
</file>