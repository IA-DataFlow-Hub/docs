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 DE TRABAJO" sheetId="1" state="visible" r:id="rId3"/>
    <sheet name="EQUIPO" sheetId="2" state="hidden" r:id="rId4"/>
    <sheet name="INSTRUCTIV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<sst xmlns="http://schemas.openxmlformats.org/spreadsheetml/2006/main" count="349" uniqueCount="192">
  <si>
    <t xml:space="preserve">A</t>
  </si>
  <si>
    <t xml:space="preserve">PLAN DE TRABAJO</t>
  </si>
  <si>
    <t xml:space="preserve">ECOSISTEMA IA-DataFlow</t>
  </si>
  <si>
    <t xml:space="preserve">Área Andina · 2026</t>
  </si>
  <si>
    <t xml:space="preserve">Semillero de Investigación · Ecosistema IA-DataFlow · Fundación Universitaria del Área Andina</t>
  </si>
  <si>
    <t xml:space="preserve">Inteligencia Artificial &amp; Data Science</t>
  </si>
  <si>
    <t xml:space="preserve">PROYECTO:</t>
  </si>
  <si>
    <t xml:space="preserve">Ecosistema IA-DataFlow</t>
  </si>
  <si>
    <t xml:space="preserve">LÍDER / DOCENTE:</t>
  </si>
  <si>
    <t xml:space="preserve">Raúl Bareño Gutiérrez</t>
  </si>
  <si>
    <t xml:space="preserve">PERÍODO:</t>
  </si>
  <si>
    <t xml:space="preserve">03/2026 – 06/2026</t>
  </si>
  <si>
    <t xml:space="preserve">VERSIÓN:</t>
  </si>
  <si>
    <t xml:space="preserve">v3.0</t>
  </si>
  <si>
    <t xml:space="preserve">INICIO:</t>
  </si>
  <si>
    <t xml:space="preserve">01/03/2026</t>
  </si>
  <si>
    <t xml:space="preserve">FIN ESTIMADO:</t>
  </si>
  <si>
    <t xml:space="preserve">30/06/2026</t>
  </si>
  <si>
    <t xml:space="preserve">ACTUALIZACIÓN:</t>
  </si>
  <si>
    <t xml:space="preserve">18/04/2026</t>
  </si>
  <si>
    <t xml:space="preserve">TOTAL ACTIVIDADES:</t>
  </si>
  <si>
    <t xml:space="preserve">COMPLETADAS:</t>
  </si>
  <si>
    <t xml:space="preserve">NO.</t>
  </si>
  <si>
    <t xml:space="preserve">TEMA</t>
  </si>
  <si>
    <t xml:space="preserve">ACTIVIDAD</t>
  </si>
  <si>
    <t xml:space="preserve">PRODUCTO</t>
  </si>
  <si>
    <t xml:space="preserve">META
NUMÉRICA</t>
  </si>
  <si>
    <t xml:space="preserve">RESPONSABLE(S)</t>
  </si>
  <si>
    <t xml:space="preserve">F. INICIO</t>
  </si>
  <si>
    <t xml:space="preserve">F. FIN</t>
  </si>
  <si>
    <t xml:space="preserve">F. ENTREGA</t>
  </si>
  <si>
    <t xml:space="preserve">RIESGO</t>
  </si>
  <si>
    <t xml:space="preserve">ENTREGABLE
VERIF.</t>
  </si>
  <si>
    <t xml:space="preserve">% AVANCE</t>
  </si>
  <si>
    <t xml:space="preserve">ESTADO</t>
  </si>
  <si>
    <t xml:space="preserve">APROBADO
POR</t>
  </si>
  <si>
    <t xml:space="preserve">OBSERVACIONES</t>
  </si>
  <si>
    <t xml:space="preserve">Infraestructura</t>
  </si>
  <si>
    <t xml:space="preserve">Configurar VPS y WebSockets</t>
  </si>
  <si>
    <t xml:space="preserve">Servidor en producción</t>
  </si>
  <si>
    <t xml:space="preserve">1 servidor</t>
  </si>
  <si>
    <t xml:space="preserve">Sebastián Bautista Martínez</t>
  </si>
  <si>
    <t xml:space="preserve">15/03/2026</t>
  </si>
  <si>
    <t xml:space="preserve">Bajo</t>
  </si>
  <si>
    <t xml:space="preserve">Sí</t>
  </si>
  <si>
    <t xml:space="preserve">✅ Completado</t>
  </si>
  <si>
    <t xml:space="preserve">Entregado sin observaciones</t>
  </si>
  <si>
    <t xml:space="preserve">Análisis IA</t>
  </si>
  <si>
    <t xml:space="preserve">ETL y Economía de Tokens</t>
  </si>
  <si>
    <t xml:space="preserve">Pipeline ETL funcional</t>
  </si>
  <si>
    <t xml:space="preserve">1 pipeline</t>
  </si>
  <si>
    <t xml:space="preserve">Juan Diego Mejía Maestre</t>
  </si>
  <si>
    <t xml:space="preserve">16/03/2026</t>
  </si>
  <si>
    <t xml:space="preserve">31/03/2026</t>
  </si>
  <si>
    <t xml:space="preserve">Medio</t>
  </si>
  <si>
    <t xml:space="preserve">Tecnología</t>
  </si>
  <si>
    <t xml:space="preserve">Stack tecnológico y manejo de hilos</t>
  </si>
  <si>
    <t xml:space="preserve">Documento técnico aprobado</t>
  </si>
  <si>
    <t xml:space="preserve">1 documento</t>
  </si>
  <si>
    <t xml:space="preserve">Oscar Antury Avila</t>
  </si>
  <si>
    <t xml:space="preserve">01/04/2026</t>
  </si>
  <si>
    <t xml:space="preserve">10/04/2026</t>
  </si>
  <si>
    <t xml:space="preserve">UX / UI</t>
  </si>
  <si>
    <t xml:space="preserve">Optimización UX y auditoría prototipo</t>
  </si>
  <si>
    <t xml:space="preserve">Prototipo auditado</t>
  </si>
  <si>
    <t xml:space="preserve">1 prototipo</t>
  </si>
  <si>
    <t xml:space="preserve">Oscar Antury Avila, María V. Labarca</t>
  </si>
  <si>
    <t xml:space="preserve">11/04/2026</t>
  </si>
  <si>
    <t xml:space="preserve">25/04/2026</t>
  </si>
  <si>
    <t xml:space="preserve">No</t>
  </si>
  <si>
    <t xml:space="preserve">⏳ En proceso</t>
  </si>
  <si>
    <t xml:space="preserve">Pendiente revisión accesibilidad</t>
  </si>
  <si>
    <t xml:space="preserve">Seguridad</t>
  </si>
  <si>
    <t xml:space="preserve">Privacidad y cumplimiento Ley 1581</t>
  </si>
  <si>
    <t xml:space="preserve">Informe de cumplimiento</t>
  </si>
  <si>
    <t xml:space="preserve">1 informe</t>
  </si>
  <si>
    <t xml:space="preserve">Pohlman Cuartas</t>
  </si>
  <si>
    <t xml:space="preserve">20/04/2026</t>
  </si>
  <si>
    <t xml:space="preserve">Alto</t>
  </si>
  <si>
    <t xml:space="preserve">Arquitectura</t>
  </si>
  <si>
    <t xml:space="preserve">UML y modelado JSON</t>
  </si>
  <si>
    <t xml:space="preserve">Diagramas UML + esquema JSON</t>
  </si>
  <si>
    <t xml:space="preserve">3 diagramas</t>
  </si>
  <si>
    <t xml:space="preserve">David Ospina, Juan Diego Mejía</t>
  </si>
  <si>
    <t xml:space="preserve">05/05/2026</t>
  </si>
  <si>
    <t xml:space="preserve">Diagrama de secuencia pendiente</t>
  </si>
  <si>
    <t xml:space="preserve">Documentación</t>
  </si>
  <si>
    <t xml:space="preserve">Registro CvLAC y semillero</t>
  </si>
  <si>
    <t xml:space="preserve">Registro activo en CvLAC</t>
  </si>
  <si>
    <t xml:space="preserve">1 registro</t>
  </si>
  <si>
    <t xml:space="preserve">Todo el equipo</t>
  </si>
  <si>
    <t xml:space="preserve">30/04/2026</t>
  </si>
  <si>
    <t xml:space="preserve">🔴 Crítico</t>
  </si>
  <si>
    <t xml:space="preserve">URGENTE: fecha límite 30 de abril</t>
  </si>
  <si>
    <t xml:space="preserve">Backend</t>
  </si>
  <si>
    <t xml:space="preserve">API REST y autenticación JWT</t>
  </si>
  <si>
    <t xml:space="preserve">API documentada (Swagger)</t>
  </si>
  <si>
    <t xml:space="preserve">1 API</t>
  </si>
  <si>
    <t xml:space="preserve">Andres Felipe Andrade</t>
  </si>
  <si>
    <t xml:space="preserve">10/05/2026</t>
  </si>
  <si>
    <t xml:space="preserve">📅 Pendiente</t>
  </si>
  <si>
    <t xml:space="preserve">Frontend</t>
  </si>
  <si>
    <t xml:space="preserve">Integración con backend y despliegue</t>
  </si>
  <si>
    <t xml:space="preserve">App desplegada en producción</t>
  </si>
  <si>
    <t xml:space="preserve">1 app</t>
  </si>
  <si>
    <t xml:space="preserve">María Virginia Labarca</t>
  </si>
  <si>
    <t xml:space="preserve">01/05/2026</t>
  </si>
  <si>
    <t xml:space="preserve">25/05/2026</t>
  </si>
  <si>
    <t xml:space="preserve">IA / NLP</t>
  </si>
  <si>
    <t xml:space="preserve">HU 07: Construcción del Corpus Maestro (150+ Archivos)</t>
  </si>
  <si>
    <t xml:space="preserve">Corpus maestro estructurado</t>
  </si>
  <si>
    <t xml:space="preserve">150 archivos</t>
  </si>
  <si>
    <t xml:space="preserve">13/04/2026</t>
  </si>
  <si>
    <t xml:space="preserve">17/04/2026</t>
  </si>
  <si>
    <t xml:space="preserve">High / Alta Crítica — en desarrollo activo</t>
  </si>
  <si>
    <t xml:space="preserve">HU 08: Investigación Exploratoria - Estándar TOON y Tokens</t>
  </si>
  <si>
    <t xml:space="preserve">Informe de investigación exploratoria</t>
  </si>
  <si>
    <t xml:space="preserve">En desarrollo — prioridad media</t>
  </si>
  <si>
    <t xml:space="preserve">IA / ML</t>
  </si>
  <si>
    <t xml:space="preserve">HU 10: Spike Exploratorio - Selección de Modelo y Fine-Tuning</t>
  </si>
  <si>
    <t xml:space="preserve">Documento de estrategia de modelo</t>
  </si>
  <si>
    <t xml:space="preserve">En revisión — prioridad media</t>
  </si>
  <si>
    <t xml:space="preserve">IA / Agentes</t>
  </si>
  <si>
    <t xml:space="preserve">HU 09: Spike Exploratorio - Agentes, Skills y Comandos de IA</t>
  </si>
  <si>
    <t xml:space="preserve">Documento de arquitectura de agentes</t>
  </si>
  <si>
    <t xml:space="preserve">David Ospina</t>
  </si>
  <si>
    <t xml:space="preserve">Roles / Equipo</t>
  </si>
  <si>
    <t xml:space="preserve">HU 06: Mapeo de Capacidades y Configuración de Roles</t>
  </si>
  <si>
    <t xml:space="preserve">Mapa de capacidades del equipo</t>
  </si>
  <si>
    <t xml:space="preserve">Archivado — baja prioridad (mejora)</t>
  </si>
  <si>
    <t xml:space="preserve">HU 00: Mapeo de Capacidades Técnicas y Roles del Equipo</t>
  </si>
  <si>
    <t xml:space="preserve">Documento de roles técnicos</t>
  </si>
  <si>
    <t xml:space="preserve">HU 02: Mapeo de Capacidades y Configuración de Roles</t>
  </si>
  <si>
    <t xml:space="preserve">Actualización de mapa de roles</t>
  </si>
  <si>
    <t xml:space="preserve">Archivado</t>
  </si>
  <si>
    <t xml:space="preserve">HU 03: Mapeo de Capacidades y Configuración de Roles</t>
  </si>
  <si>
    <t xml:space="preserve">Revisión de asignación de roles</t>
  </si>
  <si>
    <t xml:space="preserve">HU 01: Mapeo de Capacidades y Configuración de Roles</t>
  </si>
  <si>
    <t xml:space="preserve">Perfil técnico por integrante</t>
  </si>
  <si>
    <t xml:space="preserve">7 perfiles</t>
  </si>
  <si>
    <t xml:space="preserve">Listo para trabajar / Ready</t>
  </si>
  <si>
    <t xml:space="preserve">HU 04: Mapeo de Capacidades y Configuración de Roles</t>
  </si>
  <si>
    <t xml:space="preserve">Matriz de habilidades del equipo</t>
  </si>
  <si>
    <t xml:space="preserve">1 matriz</t>
  </si>
  <si>
    <t xml:space="preserve">HU 05: Mapeo de Capacidades y Configuración de Roles</t>
  </si>
  <si>
    <t xml:space="preserve">Validación final de roles asignados</t>
  </si>
  <si>
    <t xml:space="preserve">PROMEDIO GENERAL DE AVANCE DEL PROYECTO</t>
  </si>
  <si>
    <t xml:space="preserve">INSTRUCTIVO DE USO — PLAN DE TRABAJO</t>
  </si>
  <si>
    <t xml:space="preserve">Semillero de Investigación · Ecosistema IA-DataFlow</t>
  </si>
  <si>
    <t xml:space="preserve">Fundación Universitaria del Área Andina · 2026</t>
  </si>
  <si>
    <t xml:space="preserve">COLUMNA</t>
  </si>
  <si>
    <t xml:space="preserve">DESCRIPCIÓN Y USO</t>
  </si>
  <si>
    <t xml:space="preserve">VALORES VÁLIDOS / NOTAS</t>
  </si>
  <si>
    <t xml:space="preserve">Número consecutivo de la actividad. Se asigna manualmente.</t>
  </si>
  <si>
    <t xml:space="preserve">Entero: 1, 2, 3…</t>
  </si>
  <si>
    <t xml:space="preserve">Área, módulo o componente del proyecto al que pertenece la actividad.</t>
  </si>
  <si>
    <t xml:space="preserve">Ej: Backend, UX/UI, Seguridad…</t>
  </si>
  <si>
    <t xml:space="preserve">Descripción clara y concreta de la tarea a ejecutar.</t>
  </si>
  <si>
    <t xml:space="preserve">Texto libre</t>
  </si>
  <si>
    <t xml:space="preserve">Entregable tangible que evidencia el cumplimiento.</t>
  </si>
  <si>
    <t xml:space="preserve">Documento, prototipo, código, informe…</t>
  </si>
  <si>
    <t xml:space="preserve">META NUMÉRICA</t>
  </si>
  <si>
    <t xml:space="preserve">Cuantificación del producto esperado.</t>
  </si>
  <si>
    <t xml:space="preserve">Ej: 1 informe, 3 diagramas</t>
  </si>
  <si>
    <t xml:space="preserve">Escriba libremente los nombres de los integrantes a cargo.
Para múltiples responsables sepárelos por coma.
Ej: Juan Diego, David Ospina</t>
  </si>
  <si>
    <t xml:space="preserve">Texto libre — sin restricción de lista</t>
  </si>
  <si>
    <t xml:space="preserve">F. INICIO / FIN / ENTREGA</t>
  </si>
  <si>
    <t xml:space="preserve">Fechas del cronograma de la actividad.</t>
  </si>
  <si>
    <t xml:space="preserve">Formato DD/MM/AAAA</t>
  </si>
  <si>
    <t xml:space="preserve">Nivel de riesgo. El color se asigna automáticamente al seleccionar.</t>
  </si>
  <si>
    <t xml:space="preserve">Alto 🔴 · Medio 🟡 · Bajo 🟢</t>
  </si>
  <si>
    <t xml:space="preserve">ENTREGABLE VERIF.</t>
  </si>
  <si>
    <t xml:space="preserve">¿El entregable ya fue verificado o validado?</t>
  </si>
  <si>
    <t xml:space="preserve">Sí ✅ · No ❌ · N/A</t>
  </si>
  <si>
    <t xml:space="preserve">Avance como decimal entre 0 y 1. La barra verde crece automáticamente.
Ejemplo: escriba 0.75 para representar el 75%.</t>
  </si>
  <si>
    <t xml:space="preserve">Decimal de 0 a 1</t>
  </si>
  <si>
    <t xml:space="preserve">Estado actual de la actividad. Menú desplegable.
El color se asigna automáticamente.</t>
  </si>
  <si>
    <t xml:space="preserve">✅ Completado · ⏳ En proceso
📅 Pendiente · 🔴 Crítico</t>
  </si>
  <si>
    <t xml:space="preserve">APROBADO POR</t>
  </si>
  <si>
    <t xml:space="preserve">Nombre de quien valida el entregable. Menú desplegable con el equipo.</t>
  </si>
  <si>
    <t xml:space="preserve">Lista desplegable del equipo</t>
  </si>
  <si>
    <t xml:space="preserve">Notas adicionales, alertas o comentarios sobre la actividad.</t>
  </si>
  <si>
    <t xml:space="preserve">💡  RESPONSABLES: Esta columna es texto libre. Puede escribir uno o varios nombres separados por coma sin ninguna restricción de lista.</t>
  </si>
  <si>
    <t xml:space="preserve">👥  INTEGRANTES DEL EQUIPO — ECOSISTEMA IA-DataFlow</t>
  </si>
  <si>
    <t xml:space="preserve">  • Juan Diego Mejía Maestre</t>
  </si>
  <si>
    <t xml:space="preserve">  • David Ospina</t>
  </si>
  <si>
    <t xml:space="preserve">  • Andres Felipe Andrade</t>
  </si>
  <si>
    <t xml:space="preserve">  • Oscar Antury Avila</t>
  </si>
  <si>
    <t xml:space="preserve">  • Sebastián Bautista Martínez</t>
  </si>
  <si>
    <t xml:space="preserve">  • Pohlman Cuartas</t>
  </si>
  <si>
    <t xml:space="preserve">  • María Virginia Labarca</t>
  </si>
  <si>
    <t xml:space="preserve">  🎓  Raúl Bareño Gutiérrez  (Líder / Docente)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</si>
</sst>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0.0%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rial"/>
      <family val="0"/>
      <charset val="1"/>
    </font>
    <font>
      <b val="true"/>
      <sz val="22"/>
      <color rgb="FF1A1A1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EDF7D6"/>
      <name val="Arial"/>
      <family val="0"/>
      <charset val="1"/>
    </font>
    <font>
      <i val="true"/>
      <sz val="9"/>
      <color rgb="FF5A8500"/>
      <name val="Arial"/>
      <family val="0"/>
      <charset val="1"/>
    </font>
    <font>
      <i val="true"/>
      <sz val="8"/>
      <color rgb="FFB8DC6E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9"/>
      <color rgb="FF5A8500"/>
      <name val="Arial"/>
      <family val="0"/>
      <charset val="1"/>
    </font>
    <font>
      <b val="true"/>
      <sz val="9"/>
      <color rgb="FF1A1A1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1A1A1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b val="true"/>
      <sz val="14"/>
      <color rgb="FF1A1A1A"/>
      <name val="Arial"/>
      <family val="0"/>
      <charset val="1"/>
    </font>
    <font>
      <i val="true"/>
      <sz val="8"/>
      <color rgb="FF666666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5A85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0BC00"/>
        <bgColor rgb="FF5A8500"/>
      </patternFill>
    </fill>
    <fill>
      <patternFill patternType="solid">
        <fgColor rgb="FFFFFFFF"/>
        <bgColor rgb="FFEDF7D6"/>
      </patternFill>
    </fill>
    <fill>
      <patternFill patternType="solid">
        <fgColor rgb="FF5A8500"/>
        <bgColor rgb="FF7D6608"/>
      </patternFill>
    </fill>
    <fill>
      <patternFill patternType="solid">
        <fgColor rgb="FFEDF7D6"/>
        <bgColor rgb="FFFFFFFF"/>
      </patternFill>
    </fill>
    <fill>
      <patternFill patternType="solid">
        <fgColor rgb="FFB8DC6E"/>
        <bgColor rgb="FFCCCC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B8DC6E"/>
      </left>
      <right style="thin">
        <color rgb="FFB8DC6E"/>
      </right>
      <top style="medium">
        <color rgb="FF80BC00"/>
      </top>
      <bottom style="medium">
        <color rgb="FF80BC00"/>
      </bottom>
      <diagonal/>
    </border>
    <border diagonalUp="false" diagonalDown="false"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family val="0"/>
        <color rgb="FF7D6608"/>
        <sz val="9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family val="0"/>
        <color rgb="FF1F4E78"/>
        <sz val="9"/>
      </font>
      <fill>
        <patternFill>
          <bgColor rgb="FFBDD7EE"/>
        </patternFill>
      </fill>
    </dxf>
    <dxf>
      <font>
        <name val="Arial"/>
        <charset val="1"/>
        <family val="0"/>
        <color rgb="FF276221"/>
        <sz val="9"/>
      </font>
      <fill>
        <patternFill>
          <bgColor rgb="FFC6EFCE"/>
        </patternFill>
      </fill>
    </dxf>
    <dxf>
      <font>
        <name val="Arial"/>
        <charset val="1"/>
        <family val="0"/>
        <color rgb="FF9C0006"/>
        <sz val="9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7D6608"/>
      <rgbColor rgb="FF800080"/>
      <rgbColor rgb="FF008080"/>
      <rgbColor rgb="FFCCCCCC"/>
      <rgbColor rgb="FF808080"/>
      <rgbColor rgb="FF9999FF"/>
      <rgbColor rgb="FF993366"/>
      <rgbColor rgb="FFEDF7D6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B8DC6E"/>
      <rgbColor rgb="FFFF99CC"/>
      <rgbColor rgb="FFCC99FF"/>
      <rgbColor rgb="FFFFC7CE"/>
      <rgbColor rgb="FF3366FF"/>
      <rgbColor rgb="FF33CCCC"/>
      <rgbColor rgb="FF80BC00"/>
      <rgbColor rgb="FFFFCC00"/>
      <rgbColor rgb="FFFF9900"/>
      <rgbColor rgb="FFFF6600"/>
      <rgbColor rgb="FF666666"/>
      <rgbColor rgb="FF969696"/>
      <rgbColor rgb="FF003366"/>
      <rgbColor rgb="FF5A8500"/>
      <rgbColor rgb="FF003300"/>
      <rgbColor rgb="FF333300"/>
      <rgbColor rgb="FF993300"/>
      <rgbColor rgb="FF993366"/>
      <rgbColor rgb="FF1F4E78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8"/>
    <col collapsed="false" customWidth="true" hidden="false" outlineLevel="0" max="3" min="3" style="0" width="38"/>
    <col collapsed="false" customWidth="true" hidden="false" outlineLevel="0" max="4" min="4" style="0" width="28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2" min="11" style="0" width="11"/>
    <col collapsed="false" customWidth="true" hidden="false" outlineLevel="0" max="13" min="13" style="0" width="17"/>
    <col collapsed="false" customWidth="true" hidden="false" outlineLevel="0" max="14" min="14" style="0" width="22"/>
    <col collapsed="false" customWidth="true" hidden="false" outlineLevel="0" max="15" min="15" style="0" width="35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24" hidden="false" customHeight="true" outlineLevel="0" collapsed="false">
      <c r="A2" s="2" t="s">
        <v>0</v>
      </c>
      <c r="B2" s="3" t="s">
        <v>1</v>
      </c>
      <c r="C2" s="3"/>
      <c r="D2" s="3"/>
      <c r="E2" s="3"/>
      <c r="F2" s="3"/>
      <c r="G2" s="3"/>
      <c r="H2" s="3"/>
      <c r="I2" s="3"/>
      <c r="J2" s="3"/>
      <c r="K2" s="4" t="s">
        <v>2</v>
      </c>
      <c r="L2" s="4"/>
      <c r="M2" s="4"/>
      <c r="N2" s="4"/>
      <c r="O2" s="4"/>
    </row>
    <row r="3" customFormat="false" ht="42" hidden="false" customHeight="true" outlineLevel="0" collapsed="false">
      <c r="A3" s="2"/>
      <c r="B3" s="2"/>
      <c r="C3" s="3"/>
      <c r="D3" s="3"/>
      <c r="E3" s="3"/>
      <c r="F3" s="3"/>
      <c r="G3" s="3"/>
      <c r="H3" s="3"/>
      <c r="I3" s="3"/>
      <c r="J3" s="3"/>
      <c r="K3" s="5" t="s">
        <v>3</v>
      </c>
      <c r="L3" s="5"/>
      <c r="M3" s="5"/>
      <c r="N3" s="5"/>
      <c r="O3" s="5"/>
    </row>
    <row r="4" customFormat="false" ht="19.5" hidden="false" customHeight="true" outlineLevel="0" collapsed="false">
      <c r="A4" s="2"/>
      <c r="B4" s="6" t="s">
        <v>4</v>
      </c>
      <c r="C4" s="6"/>
      <c r="D4" s="6"/>
      <c r="E4" s="6"/>
      <c r="F4" s="6"/>
      <c r="G4" s="6"/>
      <c r="H4" s="6"/>
      <c r="I4" s="6"/>
      <c r="J4" s="6"/>
      <c r="K4" s="7" t="s">
        <v>5</v>
      </c>
      <c r="L4" s="7"/>
      <c r="M4" s="7"/>
      <c r="N4" s="7"/>
      <c r="O4" s="7"/>
    </row>
    <row r="5" customFormat="false" ht="4.5" hidden="false" customHeight="tru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customFormat="false" ht="21.75" hidden="false" customHeight="true" outlineLevel="0" collapsed="false">
      <c r="A6" s="8" t="s">
        <v>6</v>
      </c>
      <c r="B6" s="9" t="s">
        <v>7</v>
      </c>
      <c r="C6" s="9"/>
      <c r="D6" s="9"/>
      <c r="F6" s="8" t="s">
        <v>8</v>
      </c>
      <c r="G6" s="9" t="s">
        <v>9</v>
      </c>
      <c r="H6" s="9"/>
      <c r="I6" s="9"/>
      <c r="J6" s="8" t="s">
        <v>10</v>
      </c>
      <c r="K6" s="9" t="s">
        <v>11</v>
      </c>
      <c r="L6" s="9"/>
      <c r="M6" s="8" t="s">
        <v>12</v>
      </c>
      <c r="N6" s="9" t="s">
        <v>13</v>
      </c>
      <c r="O6" s="9"/>
    </row>
    <row r="7" customFormat="false" ht="21.75" hidden="false" customHeight="true" outlineLevel="0" collapsed="false">
      <c r="A7" s="10" t="s">
        <v>14</v>
      </c>
      <c r="B7" s="11" t="s">
        <v>15</v>
      </c>
      <c r="C7" s="11"/>
      <c r="D7" s="10" t="s">
        <v>16</v>
      </c>
      <c r="E7" s="11" t="s">
        <v>17</v>
      </c>
      <c r="F7" s="11"/>
      <c r="G7" s="10" t="s">
        <v>18</v>
      </c>
      <c r="H7" s="11" t="s">
        <v>19</v>
      </c>
      <c r="I7" s="11"/>
      <c r="J7" s="10" t="s">
        <v>20</v>
      </c>
      <c r="K7" s="11" t="n">
        <f aca="false">COUNTA(A10:A34)</f>
        <v>20</v>
      </c>
      <c r="L7" s="11"/>
      <c r="M7" s="10" t="s">
        <v>21</v>
      </c>
      <c r="N7" s="11" t="n">
        <f aca="false">COUNTIF(M10:M34,"✅ Completado")</f>
        <v>11</v>
      </c>
      <c r="O7" s="11"/>
    </row>
    <row r="8" customFormat="false" ht="3.75" hidden="false" customHeight="true" outlineLevel="0" collapsed="false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</row>
    <row r="9" customFormat="false" ht="36" hidden="false" customHeight="true" outlineLevel="0" collapsed="false">
      <c r="A9" s="13" t="s">
        <v>22</v>
      </c>
      <c r="B9" s="13" t="s">
        <v>23</v>
      </c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34</v>
      </c>
      <c r="N9" s="13" t="s">
        <v>35</v>
      </c>
      <c r="O9" s="13" t="s">
        <v>36</v>
      </c>
    </row>
    <row r="10" customFormat="false" ht="21.75" hidden="false" customHeight="true" outlineLevel="0" collapsed="false">
      <c r="A10" s="14" t="n">
        <v>1</v>
      </c>
      <c r="B10" s="15" t="s">
        <v>37</v>
      </c>
      <c r="C10" s="15" t="s">
        <v>38</v>
      </c>
      <c r="D10" s="15" t="s">
        <v>39</v>
      </c>
      <c r="E10" s="14" t="s">
        <v>40</v>
      </c>
      <c r="F10" s="15" t="s">
        <v>41</v>
      </c>
      <c r="G10" s="14" t="s">
        <v>15</v>
      </c>
      <c r="H10" s="14" t="s">
        <v>42</v>
      </c>
      <c r="I10" s="14" t="s">
        <v>42</v>
      </c>
      <c r="J10" s="14" t="s">
        <v>43</v>
      </c>
      <c r="K10" s="14" t="s">
        <v>44</v>
      </c>
      <c r="L10" s="16" t="n">
        <v>1</v>
      </c>
      <c r="M10" s="14" t="s">
        <v>45</v>
      </c>
      <c r="N10" s="14" t="s">
        <v>9</v>
      </c>
      <c r="O10" s="15" t="s">
        <v>46</v>
      </c>
    </row>
    <row r="11" customFormat="false" ht="21.75" hidden="false" customHeight="true" outlineLevel="0" collapsed="false">
      <c r="A11" s="17" t="n">
        <v>2</v>
      </c>
      <c r="B11" s="18" t="s">
        <v>47</v>
      </c>
      <c r="C11" s="18" t="s">
        <v>48</v>
      </c>
      <c r="D11" s="18" t="s">
        <v>49</v>
      </c>
      <c r="E11" s="17" t="s">
        <v>50</v>
      </c>
      <c r="F11" s="18" t="s">
        <v>51</v>
      </c>
      <c r="G11" s="17" t="s">
        <v>52</v>
      </c>
      <c r="H11" s="17" t="s">
        <v>53</v>
      </c>
      <c r="I11" s="17" t="s">
        <v>53</v>
      </c>
      <c r="J11" s="17" t="s">
        <v>54</v>
      </c>
      <c r="K11" s="17" t="s">
        <v>44</v>
      </c>
      <c r="L11" s="19" t="n">
        <v>1</v>
      </c>
      <c r="M11" s="17" t="s">
        <v>45</v>
      </c>
      <c r="N11" s="17" t="s">
        <v>9</v>
      </c>
      <c r="O11" s="18"/>
    </row>
    <row r="12" customFormat="false" ht="21.75" hidden="false" customHeight="true" outlineLevel="0" collapsed="false">
      <c r="A12" s="14" t="n">
        <v>3</v>
      </c>
      <c r="B12" s="15" t="s">
        <v>55</v>
      </c>
      <c r="C12" s="15" t="s">
        <v>56</v>
      </c>
      <c r="D12" s="15" t="s">
        <v>57</v>
      </c>
      <c r="E12" s="14" t="s">
        <v>58</v>
      </c>
      <c r="F12" s="15" t="s">
        <v>59</v>
      </c>
      <c r="G12" s="14" t="s">
        <v>60</v>
      </c>
      <c r="H12" s="14" t="s">
        <v>61</v>
      </c>
      <c r="I12" s="14" t="s">
        <v>61</v>
      </c>
      <c r="J12" s="14" t="s">
        <v>43</v>
      </c>
      <c r="K12" s="14" t="s">
        <v>44</v>
      </c>
      <c r="L12" s="16" t="n">
        <v>1</v>
      </c>
      <c r="M12" s="14" t="s">
        <v>45</v>
      </c>
      <c r="N12" s="14" t="s">
        <v>9</v>
      </c>
      <c r="O12" s="15"/>
    </row>
    <row r="13" customFormat="false" ht="21.75" hidden="false" customHeight="true" outlineLevel="0" collapsed="false">
      <c r="A13" s="17" t="n">
        <v>4</v>
      </c>
      <c r="B13" s="18" t="s">
        <v>62</v>
      </c>
      <c r="C13" s="18" t="s">
        <v>63</v>
      </c>
      <c r="D13" s="18" t="s">
        <v>64</v>
      </c>
      <c r="E13" s="17" t="s">
        <v>65</v>
      </c>
      <c r="F13" s="18" t="s">
        <v>66</v>
      </c>
      <c r="G13" s="17" t="s">
        <v>67</v>
      </c>
      <c r="H13" s="17" t="s">
        <v>68</v>
      </c>
      <c r="I13" s="17" t="s">
        <v>68</v>
      </c>
      <c r="J13" s="17" t="s">
        <v>54</v>
      </c>
      <c r="K13" s="17" t="s">
        <v>69</v>
      </c>
      <c r="L13" s="19" t="n">
        <v>0.9</v>
      </c>
      <c r="M13" s="17" t="s">
        <v>70</v>
      </c>
      <c r="N13" s="17"/>
      <c r="O13" s="18" t="s">
        <v>71</v>
      </c>
    </row>
    <row r="14" customFormat="false" ht="21.75" hidden="false" customHeight="true" outlineLevel="0" collapsed="false">
      <c r="A14" s="14" t="n">
        <v>5</v>
      </c>
      <c r="B14" s="15" t="s">
        <v>72</v>
      </c>
      <c r="C14" s="15" t="s">
        <v>73</v>
      </c>
      <c r="D14" s="15" t="s">
        <v>74</v>
      </c>
      <c r="E14" s="14" t="s">
        <v>75</v>
      </c>
      <c r="F14" s="15" t="s">
        <v>76</v>
      </c>
      <c r="G14" s="14" t="s">
        <v>60</v>
      </c>
      <c r="H14" s="14" t="s">
        <v>77</v>
      </c>
      <c r="I14" s="14" t="s">
        <v>77</v>
      </c>
      <c r="J14" s="14" t="s">
        <v>78</v>
      </c>
      <c r="K14" s="14" t="s">
        <v>44</v>
      </c>
      <c r="L14" s="16" t="n">
        <v>1</v>
      </c>
      <c r="M14" s="14" t="s">
        <v>45</v>
      </c>
      <c r="N14" s="14" t="s">
        <v>9</v>
      </c>
      <c r="O14" s="15"/>
    </row>
    <row r="15" customFormat="false" ht="21.75" hidden="false" customHeight="true" outlineLevel="0" collapsed="false">
      <c r="A15" s="17" t="n">
        <v>6</v>
      </c>
      <c r="B15" s="18" t="s">
        <v>79</v>
      </c>
      <c r="C15" s="18" t="s">
        <v>80</v>
      </c>
      <c r="D15" s="18" t="s">
        <v>81</v>
      </c>
      <c r="E15" s="17" t="s">
        <v>82</v>
      </c>
      <c r="F15" s="18" t="s">
        <v>83</v>
      </c>
      <c r="G15" s="17" t="s">
        <v>19</v>
      </c>
      <c r="H15" s="17" t="s">
        <v>84</v>
      </c>
      <c r="I15" s="17" t="s">
        <v>84</v>
      </c>
      <c r="J15" s="17" t="s">
        <v>54</v>
      </c>
      <c r="K15" s="17" t="s">
        <v>69</v>
      </c>
      <c r="L15" s="19" t="n">
        <v>0.85</v>
      </c>
      <c r="M15" s="17" t="s">
        <v>70</v>
      </c>
      <c r="N15" s="17"/>
      <c r="O15" s="18" t="s">
        <v>85</v>
      </c>
    </row>
    <row r="16" customFormat="false" ht="21.75" hidden="false" customHeight="true" outlineLevel="0" collapsed="false">
      <c r="A16" s="14" t="n">
        <v>7</v>
      </c>
      <c r="B16" s="15" t="s">
        <v>86</v>
      </c>
      <c r="C16" s="15" t="s">
        <v>87</v>
      </c>
      <c r="D16" s="15" t="s">
        <v>88</v>
      </c>
      <c r="E16" s="14" t="s">
        <v>89</v>
      </c>
      <c r="F16" s="15" t="s">
        <v>90</v>
      </c>
      <c r="G16" s="14" t="s">
        <v>19</v>
      </c>
      <c r="H16" s="14" t="s">
        <v>91</v>
      </c>
      <c r="I16" s="14" t="s">
        <v>91</v>
      </c>
      <c r="J16" s="14" t="s">
        <v>78</v>
      </c>
      <c r="K16" s="14" t="s">
        <v>69</v>
      </c>
      <c r="L16" s="16" t="n">
        <v>0.2</v>
      </c>
      <c r="M16" s="14" t="s">
        <v>92</v>
      </c>
      <c r="N16" s="14"/>
      <c r="O16" s="15" t="s">
        <v>93</v>
      </c>
    </row>
    <row r="17" customFormat="false" ht="21.75" hidden="false" customHeight="true" outlineLevel="0" collapsed="false">
      <c r="A17" s="17" t="n">
        <v>8</v>
      </c>
      <c r="B17" s="18" t="s">
        <v>94</v>
      </c>
      <c r="C17" s="18" t="s">
        <v>95</v>
      </c>
      <c r="D17" s="18" t="s">
        <v>96</v>
      </c>
      <c r="E17" s="17" t="s">
        <v>97</v>
      </c>
      <c r="F17" s="18" t="s">
        <v>98</v>
      </c>
      <c r="G17" s="17" t="s">
        <v>77</v>
      </c>
      <c r="H17" s="17" t="s">
        <v>99</v>
      </c>
      <c r="I17" s="17" t="s">
        <v>99</v>
      </c>
      <c r="J17" s="17" t="s">
        <v>78</v>
      </c>
      <c r="K17" s="17" t="s">
        <v>69</v>
      </c>
      <c r="L17" s="19" t="n">
        <v>0.1</v>
      </c>
      <c r="M17" s="17" t="s">
        <v>100</v>
      </c>
      <c r="N17" s="17"/>
      <c r="O17" s="18"/>
    </row>
    <row r="18" customFormat="false" ht="21.75" hidden="false" customHeight="true" outlineLevel="0" collapsed="false">
      <c r="A18" s="14" t="n">
        <v>9</v>
      </c>
      <c r="B18" s="15" t="s">
        <v>101</v>
      </c>
      <c r="C18" s="15" t="s">
        <v>102</v>
      </c>
      <c r="D18" s="15" t="s">
        <v>103</v>
      </c>
      <c r="E18" s="14" t="s">
        <v>104</v>
      </c>
      <c r="F18" s="15" t="s">
        <v>105</v>
      </c>
      <c r="G18" s="14" t="s">
        <v>106</v>
      </c>
      <c r="H18" s="14" t="s">
        <v>107</v>
      </c>
      <c r="I18" s="14" t="s">
        <v>107</v>
      </c>
      <c r="J18" s="14" t="s">
        <v>54</v>
      </c>
      <c r="K18" s="14" t="s">
        <v>69</v>
      </c>
      <c r="L18" s="14" t="n">
        <v>0</v>
      </c>
      <c r="M18" s="14" t="s">
        <v>100</v>
      </c>
      <c r="N18" s="14"/>
      <c r="O18" s="15"/>
    </row>
    <row r="19" customFormat="false" ht="21.75" hidden="false" customHeight="true" outlineLevel="0" collapsed="false">
      <c r="A19" s="17" t="n">
        <v>10</v>
      </c>
      <c r="B19" s="18" t="s">
        <v>108</v>
      </c>
      <c r="C19" s="18" t="s">
        <v>109</v>
      </c>
      <c r="D19" s="18" t="s">
        <v>110</v>
      </c>
      <c r="E19" s="17" t="s">
        <v>111</v>
      </c>
      <c r="F19" s="18" t="s">
        <v>98</v>
      </c>
      <c r="G19" s="17" t="s">
        <v>112</v>
      </c>
      <c r="H19" s="17" t="s">
        <v>113</v>
      </c>
      <c r="I19" s="17" t="s">
        <v>113</v>
      </c>
      <c r="J19" s="17" t="s">
        <v>78</v>
      </c>
      <c r="K19" s="17" t="s">
        <v>69</v>
      </c>
      <c r="L19" s="19" t="n">
        <v>0.6</v>
      </c>
      <c r="M19" s="17" t="s">
        <v>70</v>
      </c>
      <c r="N19" s="17"/>
      <c r="O19" s="18" t="s">
        <v>114</v>
      </c>
    </row>
    <row r="20" customFormat="false" ht="21.75" hidden="false" customHeight="true" outlineLevel="0" collapsed="false">
      <c r="A20" s="14" t="n">
        <v>11</v>
      </c>
      <c r="B20" s="15" t="s">
        <v>108</v>
      </c>
      <c r="C20" s="15" t="s">
        <v>115</v>
      </c>
      <c r="D20" s="15" t="s">
        <v>116</v>
      </c>
      <c r="E20" s="14" t="s">
        <v>75</v>
      </c>
      <c r="F20" s="15" t="s">
        <v>98</v>
      </c>
      <c r="G20" s="14" t="s">
        <v>112</v>
      </c>
      <c r="H20" s="14" t="s">
        <v>113</v>
      </c>
      <c r="I20" s="14" t="s">
        <v>113</v>
      </c>
      <c r="J20" s="14" t="s">
        <v>78</v>
      </c>
      <c r="K20" s="14" t="s">
        <v>69</v>
      </c>
      <c r="L20" s="16" t="n">
        <v>0.5</v>
      </c>
      <c r="M20" s="14" t="s">
        <v>70</v>
      </c>
      <c r="N20" s="14"/>
      <c r="O20" s="15" t="s">
        <v>117</v>
      </c>
    </row>
    <row r="21" customFormat="false" ht="21.75" hidden="false" customHeight="true" outlineLevel="0" collapsed="false">
      <c r="A21" s="17" t="n">
        <v>12</v>
      </c>
      <c r="B21" s="18" t="s">
        <v>118</v>
      </c>
      <c r="C21" s="18" t="s">
        <v>119</v>
      </c>
      <c r="D21" s="18" t="s">
        <v>120</v>
      </c>
      <c r="E21" s="17" t="s">
        <v>58</v>
      </c>
      <c r="F21" s="18" t="s">
        <v>51</v>
      </c>
      <c r="G21" s="17" t="s">
        <v>112</v>
      </c>
      <c r="H21" s="17" t="s">
        <v>113</v>
      </c>
      <c r="I21" s="17" t="s">
        <v>113</v>
      </c>
      <c r="J21" s="17" t="s">
        <v>54</v>
      </c>
      <c r="K21" s="17" t="s">
        <v>69</v>
      </c>
      <c r="L21" s="19" t="n">
        <v>0.4</v>
      </c>
      <c r="M21" s="17" t="s">
        <v>70</v>
      </c>
      <c r="N21" s="17"/>
      <c r="O21" s="18" t="s">
        <v>121</v>
      </c>
    </row>
    <row r="22" customFormat="false" ht="21.75" hidden="false" customHeight="true" outlineLevel="0" collapsed="false">
      <c r="A22" s="14" t="n">
        <v>13</v>
      </c>
      <c r="B22" s="15" t="s">
        <v>122</v>
      </c>
      <c r="C22" s="15" t="s">
        <v>123</v>
      </c>
      <c r="D22" s="15" t="s">
        <v>124</v>
      </c>
      <c r="E22" s="14" t="s">
        <v>58</v>
      </c>
      <c r="F22" s="15" t="s">
        <v>125</v>
      </c>
      <c r="G22" s="14" t="s">
        <v>112</v>
      </c>
      <c r="H22" s="14" t="s">
        <v>113</v>
      </c>
      <c r="I22" s="14" t="s">
        <v>113</v>
      </c>
      <c r="J22" s="14" t="s">
        <v>54</v>
      </c>
      <c r="K22" s="14" t="s">
        <v>69</v>
      </c>
      <c r="L22" s="16" t="n">
        <v>0.4</v>
      </c>
      <c r="M22" s="14" t="s">
        <v>70</v>
      </c>
      <c r="N22" s="14"/>
      <c r="O22" s="15" t="s">
        <v>121</v>
      </c>
    </row>
    <row r="23" customFormat="false" ht="21.75" hidden="false" customHeight="true" outlineLevel="0" collapsed="false">
      <c r="A23" s="17" t="n">
        <v>14</v>
      </c>
      <c r="B23" s="18" t="s">
        <v>126</v>
      </c>
      <c r="C23" s="18" t="s">
        <v>127</v>
      </c>
      <c r="D23" s="18" t="s">
        <v>128</v>
      </c>
      <c r="E23" s="17" t="s">
        <v>58</v>
      </c>
      <c r="F23" s="18" t="s">
        <v>51</v>
      </c>
      <c r="G23" s="17" t="s">
        <v>112</v>
      </c>
      <c r="H23" s="17" t="s">
        <v>113</v>
      </c>
      <c r="I23" s="17" t="s">
        <v>113</v>
      </c>
      <c r="J23" s="17" t="s">
        <v>43</v>
      </c>
      <c r="K23" s="17" t="s">
        <v>44</v>
      </c>
      <c r="L23" s="19" t="n">
        <v>1</v>
      </c>
      <c r="M23" s="17" t="s">
        <v>45</v>
      </c>
      <c r="N23" s="17" t="s">
        <v>9</v>
      </c>
      <c r="O23" s="18" t="s">
        <v>129</v>
      </c>
    </row>
    <row r="24" customFormat="false" ht="21.75" hidden="false" customHeight="true" outlineLevel="0" collapsed="false">
      <c r="A24" s="14" t="n">
        <v>15</v>
      </c>
      <c r="B24" s="15" t="s">
        <v>126</v>
      </c>
      <c r="C24" s="15" t="s">
        <v>130</v>
      </c>
      <c r="D24" s="15" t="s">
        <v>131</v>
      </c>
      <c r="E24" s="14" t="s">
        <v>58</v>
      </c>
      <c r="F24" s="15" t="s">
        <v>51</v>
      </c>
      <c r="G24" s="14" t="s">
        <v>112</v>
      </c>
      <c r="H24" s="14" t="s">
        <v>113</v>
      </c>
      <c r="I24" s="14" t="s">
        <v>113</v>
      </c>
      <c r="J24" s="14" t="s">
        <v>43</v>
      </c>
      <c r="K24" s="14" t="s">
        <v>44</v>
      </c>
      <c r="L24" s="16" t="n">
        <v>1</v>
      </c>
      <c r="M24" s="14" t="s">
        <v>45</v>
      </c>
      <c r="N24" s="14" t="s">
        <v>9</v>
      </c>
      <c r="O24" s="15" t="s">
        <v>129</v>
      </c>
    </row>
    <row r="25" customFormat="false" ht="21.75" hidden="false" customHeight="true" outlineLevel="0" collapsed="false">
      <c r="A25" s="17" t="n">
        <v>16</v>
      </c>
      <c r="B25" s="18" t="s">
        <v>126</v>
      </c>
      <c r="C25" s="18" t="s">
        <v>132</v>
      </c>
      <c r="D25" s="18" t="s">
        <v>133</v>
      </c>
      <c r="E25" s="17" t="s">
        <v>58</v>
      </c>
      <c r="F25" s="18" t="s">
        <v>98</v>
      </c>
      <c r="G25" s="17" t="s">
        <v>112</v>
      </c>
      <c r="H25" s="17" t="s">
        <v>113</v>
      </c>
      <c r="I25" s="17" t="s">
        <v>113</v>
      </c>
      <c r="J25" s="17" t="s">
        <v>43</v>
      </c>
      <c r="K25" s="17" t="s">
        <v>44</v>
      </c>
      <c r="L25" s="19" t="n">
        <v>1</v>
      </c>
      <c r="M25" s="17" t="s">
        <v>45</v>
      </c>
      <c r="N25" s="17" t="s">
        <v>9</v>
      </c>
      <c r="O25" s="18" t="s">
        <v>134</v>
      </c>
    </row>
    <row r="26" customFormat="false" ht="21.75" hidden="false" customHeight="true" outlineLevel="0" collapsed="false">
      <c r="A26" s="14" t="n">
        <v>17</v>
      </c>
      <c r="B26" s="15" t="s">
        <v>126</v>
      </c>
      <c r="C26" s="15" t="s">
        <v>135</v>
      </c>
      <c r="D26" s="15" t="s">
        <v>136</v>
      </c>
      <c r="E26" s="14" t="s">
        <v>58</v>
      </c>
      <c r="F26" s="15" t="s">
        <v>125</v>
      </c>
      <c r="G26" s="14" t="s">
        <v>112</v>
      </c>
      <c r="H26" s="14" t="s">
        <v>113</v>
      </c>
      <c r="I26" s="14" t="s">
        <v>113</v>
      </c>
      <c r="J26" s="14" t="s">
        <v>43</v>
      </c>
      <c r="K26" s="14" t="s">
        <v>44</v>
      </c>
      <c r="L26" s="16" t="n">
        <v>1</v>
      </c>
      <c r="M26" s="14" t="s">
        <v>45</v>
      </c>
      <c r="N26" s="14" t="s">
        <v>9</v>
      </c>
      <c r="O26" s="15" t="s">
        <v>134</v>
      </c>
    </row>
    <row r="27" customFormat="false" ht="21.75" hidden="false" customHeight="true" outlineLevel="0" collapsed="false">
      <c r="A27" s="17" t="n">
        <v>18</v>
      </c>
      <c r="B27" s="18" t="s">
        <v>126</v>
      </c>
      <c r="C27" s="18" t="s">
        <v>137</v>
      </c>
      <c r="D27" s="18" t="s">
        <v>138</v>
      </c>
      <c r="E27" s="17" t="s">
        <v>139</v>
      </c>
      <c r="F27" s="18" t="s">
        <v>76</v>
      </c>
      <c r="G27" s="17" t="s">
        <v>112</v>
      </c>
      <c r="H27" s="17" t="s">
        <v>113</v>
      </c>
      <c r="I27" s="17" t="s">
        <v>113</v>
      </c>
      <c r="J27" s="17" t="s">
        <v>43</v>
      </c>
      <c r="K27" s="17" t="s">
        <v>44</v>
      </c>
      <c r="L27" s="19" t="n">
        <v>1</v>
      </c>
      <c r="M27" s="17" t="s">
        <v>45</v>
      </c>
      <c r="N27" s="17" t="s">
        <v>9</v>
      </c>
      <c r="O27" s="18" t="s">
        <v>140</v>
      </c>
    </row>
    <row r="28" customFormat="false" ht="21.75" hidden="false" customHeight="true" outlineLevel="0" collapsed="false">
      <c r="A28" s="14" t="n">
        <v>19</v>
      </c>
      <c r="B28" s="15" t="s">
        <v>126</v>
      </c>
      <c r="C28" s="15" t="s">
        <v>141</v>
      </c>
      <c r="D28" s="15" t="s">
        <v>142</v>
      </c>
      <c r="E28" s="14" t="s">
        <v>143</v>
      </c>
      <c r="F28" s="15" t="s">
        <v>105</v>
      </c>
      <c r="G28" s="14" t="s">
        <v>112</v>
      </c>
      <c r="H28" s="14" t="s">
        <v>113</v>
      </c>
      <c r="I28" s="14" t="s">
        <v>113</v>
      </c>
      <c r="J28" s="14" t="s">
        <v>43</v>
      </c>
      <c r="K28" s="14" t="s">
        <v>44</v>
      </c>
      <c r="L28" s="16" t="n">
        <v>1</v>
      </c>
      <c r="M28" s="14" t="s">
        <v>45</v>
      </c>
      <c r="N28" s="14" t="s">
        <v>9</v>
      </c>
      <c r="O28" s="15" t="s">
        <v>140</v>
      </c>
    </row>
    <row r="29" customFormat="false" ht="21.75" hidden="false" customHeight="true" outlineLevel="0" collapsed="false">
      <c r="A29" s="17" t="n">
        <v>20</v>
      </c>
      <c r="B29" s="18" t="s">
        <v>126</v>
      </c>
      <c r="C29" s="18" t="s">
        <v>144</v>
      </c>
      <c r="D29" s="18" t="s">
        <v>145</v>
      </c>
      <c r="E29" s="17" t="s">
        <v>58</v>
      </c>
      <c r="F29" s="18" t="s">
        <v>41</v>
      </c>
      <c r="G29" s="17" t="s">
        <v>112</v>
      </c>
      <c r="H29" s="17" t="s">
        <v>113</v>
      </c>
      <c r="I29" s="17" t="s">
        <v>113</v>
      </c>
      <c r="J29" s="17" t="s">
        <v>43</v>
      </c>
      <c r="K29" s="17" t="s">
        <v>44</v>
      </c>
      <c r="L29" s="19" t="n">
        <v>1</v>
      </c>
      <c r="M29" s="17" t="s">
        <v>45</v>
      </c>
      <c r="N29" s="17" t="s">
        <v>9</v>
      </c>
      <c r="O29" s="18" t="s">
        <v>140</v>
      </c>
    </row>
    <row r="30" customFormat="false" ht="21.75" hidden="false" customHeight="true" outlineLevel="0" collapsed="false">
      <c r="A30" s="14"/>
      <c r="B30" s="15"/>
      <c r="C30" s="15"/>
      <c r="D30" s="15"/>
      <c r="E30" s="14"/>
      <c r="F30" s="15"/>
      <c r="G30" s="14"/>
      <c r="H30" s="14"/>
      <c r="I30" s="14"/>
      <c r="J30" s="14"/>
      <c r="K30" s="14"/>
      <c r="L30" s="14"/>
      <c r="M30" s="14"/>
      <c r="N30" s="14"/>
      <c r="O30" s="15"/>
    </row>
    <row r="31" customFormat="false" ht="21.75" hidden="false" customHeight="true" outlineLevel="0" collapsed="false">
      <c r="A31" s="17"/>
      <c r="B31" s="18"/>
      <c r="C31" s="18"/>
      <c r="D31" s="18"/>
      <c r="E31" s="17"/>
      <c r="F31" s="18"/>
      <c r="G31" s="17"/>
      <c r="H31" s="17"/>
      <c r="I31" s="17"/>
      <c r="J31" s="17"/>
      <c r="K31" s="17"/>
      <c r="L31" s="17"/>
      <c r="M31" s="17"/>
      <c r="N31" s="17"/>
      <c r="O31" s="18"/>
    </row>
    <row r="32" customFormat="false" ht="21.75" hidden="false" customHeight="true" outlineLevel="0" collapsed="false">
      <c r="A32" s="14"/>
      <c r="B32" s="15"/>
      <c r="C32" s="15"/>
      <c r="D32" s="15"/>
      <c r="E32" s="14"/>
      <c r="F32" s="15"/>
      <c r="G32" s="14"/>
      <c r="H32" s="14"/>
      <c r="I32" s="14"/>
      <c r="J32" s="14"/>
      <c r="K32" s="14"/>
      <c r="L32" s="14"/>
      <c r="M32" s="14"/>
      <c r="N32" s="14"/>
      <c r="O32" s="15"/>
    </row>
    <row r="33" customFormat="false" ht="21.75" hidden="false" customHeight="true" outlineLevel="0" collapsed="false">
      <c r="A33" s="17"/>
      <c r="B33" s="18"/>
      <c r="C33" s="18"/>
      <c r="D33" s="18"/>
      <c r="E33" s="17"/>
      <c r="F33" s="18"/>
      <c r="G33" s="17"/>
      <c r="H33" s="17"/>
      <c r="I33" s="17"/>
      <c r="J33" s="17"/>
      <c r="K33" s="17"/>
      <c r="L33" s="17"/>
      <c r="M33" s="17"/>
      <c r="N33" s="17"/>
      <c r="O33" s="18"/>
    </row>
    <row r="34" customFormat="false" ht="21.75" hidden="false" customHeight="true" outlineLevel="0" collapsed="false">
      <c r="A34" s="14"/>
      <c r="B34" s="15"/>
      <c r="C34" s="15"/>
      <c r="D34" s="15"/>
      <c r="E34" s="14"/>
      <c r="F34" s="15"/>
      <c r="G34" s="14"/>
      <c r="H34" s="14"/>
      <c r="I34" s="14"/>
      <c r="J34" s="14"/>
      <c r="K34" s="14"/>
      <c r="L34" s="14"/>
      <c r="M34" s="14"/>
      <c r="N34" s="14"/>
      <c r="O34" s="15"/>
    </row>
    <row r="35" customFormat="false" ht="25.5" hidden="false" customHeight="true" outlineLevel="0" collapsed="false">
      <c r="A35" s="20" t="s">
        <v>146</v>
      </c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1" t="n">
        <f aca="false">IFERROR(AVERAGEIF(L10:L34,"&gt;0",L10:L34),0)</f>
        <v>0.786842105263158</v>
      </c>
      <c r="M35" s="22"/>
      <c r="N35" s="22"/>
      <c r="O35" s="22"/>
    </row>
  </sheetData>
  <mergeCells count="16">
    <mergeCell ref="A2:A4"/>
    <mergeCell ref="B2:J3"/>
    <mergeCell ref="K2:O2"/>
    <mergeCell ref="K3:O3"/>
    <mergeCell ref="B4:J4"/>
    <mergeCell ref="K4:O4"/>
    <mergeCell ref="B6:D6"/>
    <mergeCell ref="G6:I6"/>
    <mergeCell ref="K6:L6"/>
    <mergeCell ref="N6:O6"/>
    <mergeCell ref="B7:C7"/>
    <mergeCell ref="E7:F7"/>
    <mergeCell ref="H7:I7"/>
    <mergeCell ref="K7:L7"/>
    <mergeCell ref="N7:O7"/>
    <mergeCell ref="A35:K35"/>
  </mergeCells>
  <conditionalFormatting sqref="M10:M34">
    <cfRule type="cellIs" priority="2" operator="equal" aboveAverage="0" equalAverage="0" bottom="0" percent="0" rank="0" text="" dxfId="0">
      <formula>"✅ Completado"</formula>
    </cfRule>
    <cfRule type="cellIs" priority="3" operator="equal" aboveAverage="0" equalAverage="0" bottom="0" percent="0" rank="0" text="" dxfId="1">
      <formula>"⏳ En proceso"</formula>
    </cfRule>
    <cfRule type="cellIs" priority="4" operator="equal" aboveAverage="0" equalAverage="0" bottom="0" percent="0" rank="0" text="" dxfId="2">
      <formula>"🔴 Crítico"</formula>
    </cfRule>
    <cfRule type="cellIs" priority="5" operator="equal" aboveAverage="0" equalAverage="0" bottom="0" percent="0" rank="0" text="" dxfId="3">
      <formula>"📅 Pendiente"</formula>
    </cfRule>
  </conditionalFormatting>
  <conditionalFormatting sqref="J10:J34">
    <cfRule type="cellIs" priority="6" operator="equal" aboveAverage="0" equalAverage="0" bottom="0" percent="0" rank="0" text="" dxfId="2">
      <formula>"Alto"</formula>
    </cfRule>
    <cfRule type="cellIs" priority="7" operator="equal" aboveAverage="0" equalAverage="0" bottom="0" percent="0" rank="0" text="" dxfId="1">
      <formula>"Medio"</formula>
    </cfRule>
    <cfRule type="cellIs" priority="8" operator="equal" aboveAverage="0" equalAverage="0" bottom="0" percent="0" rank="0" text="" dxfId="4">
      <formula>"Bajo"</formula>
    </cfRule>
  </conditionalFormatting>
  <conditionalFormatting sqref="K10:K34">
    <cfRule type="cellIs" priority="9" operator="equal" aboveAverage="0" equalAverage="0" bottom="0" percent="0" rank="0" text="" dxfId="0">
      <formula>"Sí"</formula>
    </cfRule>
    <cfRule type="cellIs" priority="10" operator="equal" aboveAverage="0" equalAverage="0" bottom="0" percent="0" rank="0" text="" dxfId="5">
      <formula>"No"</formula>
    </cfRule>
  </conditionalFormatting>
  <conditionalFormatting sqref="L10:L34">
    <cfRule type="dataBar" priority="11">
      <dataBar showValue="1" minLength="10" maxLength="90">
        <cfvo type="num" val="0"/>
        <cfvo type="num" val="1"/>
        <color rgb="FF5A8500"/>
      </dataBar>
      <extLst>
        <ext xmlns:x14="http://schemas.microsoft.com/office/spreadsheetml/2009/9/main" uri="{B025F937-C7B1-47D3-B67F-A62EFF666E3E}">
          <x14:id>{9F20A214-C590-4190-B4E4-BCB02B5B74D7}</x14:id>
        </ext>
      </extLst>
    </cfRule>
  </conditionalFormatting>
  <dataValidations count="4">
    <dataValidation allowBlank="true" errorStyle="stop" operator="between" showDropDown="false" showErrorMessage="false" showInputMessage="false" sqref="M10:M34" type="list">
      <formula1>"✅ Completado,⏳ En proceso,📅 Pendiente,🔴 Crítico"</formula1>
      <formula2>0</formula2>
    </dataValidation>
    <dataValidation allowBlank="true" errorStyle="stop" operator="between" showDropDown="false" showErrorMessage="false" showInputMessage="false" sqref="J10:J34" type="list">
      <formula1>"Alto,Medio,Bajo"</formula1>
      <formula2>0</formula2>
    </dataValidation>
    <dataValidation allowBlank="true" errorStyle="stop" operator="between" showDropDown="false" showErrorMessage="false" showInputMessage="false" sqref="K10:K34" type="list">
      <formula1>"Sí,No,N/A"</formula1>
      <formula2>0</formula2>
    </dataValidation>
    <dataValidation allowBlank="true" errorStyle="stop" operator="between" showDropDown="false" showErrorMessage="false" showInputMessage="false" sqref="N10:N34" type="list">
      <formula1>EQUIPO!$A$1:$A$9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20A214-C590-4190-B4E4-BCB02B5B74D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A8500"/>
              <x14:axisColor rgb="FF000000"/>
            </x14:dataBar>
          </x14:cfRule>
          <xm:sqref>L10:L34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51</v>
      </c>
    </row>
    <row r="2" customFormat="false" ht="15" hidden="false" customHeight="false" outlineLevel="0" collapsed="false">
      <c r="A2" s="0" t="s">
        <v>125</v>
      </c>
    </row>
    <row r="3" customFormat="false" ht="15" hidden="false" customHeight="false" outlineLevel="0" collapsed="false">
      <c r="A3" s="0" t="s">
        <v>98</v>
      </c>
    </row>
    <row r="4" customFormat="false" ht="15" hidden="false" customHeight="false" outlineLevel="0" collapsed="false">
      <c r="A4" s="0" t="s">
        <v>59</v>
      </c>
    </row>
    <row r="5" customFormat="false" ht="15" hidden="false" customHeight="false" outlineLevel="0" collapsed="false">
      <c r="A5" s="0" t="s">
        <v>41</v>
      </c>
    </row>
    <row r="6" customFormat="false" ht="15" hidden="false" customHeight="false" outlineLevel="0" collapsed="false">
      <c r="A6" s="0" t="s">
        <v>76</v>
      </c>
    </row>
    <row r="7" customFormat="false" ht="15" hidden="false" customHeight="false" outlineLevel="0" collapsed="false">
      <c r="A7" s="0" t="s">
        <v>105</v>
      </c>
    </row>
    <row r="8" customFormat="false" ht="15" hidden="false" customHeight="false" outlineLevel="0" collapsed="false">
      <c r="A8" s="0" t="s">
        <v>90</v>
      </c>
    </row>
    <row r="9" customFormat="false" ht="15" hidden="false" customHeight="false" outlineLevel="0" collapsed="false">
      <c r="A9" s="0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3" min="3" style="0" width="56"/>
    <col collapsed="false" customWidth="true" hidden="false" outlineLevel="0" max="4" min="4" style="0" width="32"/>
  </cols>
  <sheetData>
    <row r="1" customFormat="false" ht="9.75" hidden="false" customHeight="true" outlineLevel="0" collapsed="false">
      <c r="A1" s="1"/>
      <c r="B1" s="1"/>
      <c r="C1" s="1"/>
      <c r="D1" s="1"/>
    </row>
    <row r="2" customFormat="false" ht="49.5" hidden="false" customHeight="true" outlineLevel="0" collapsed="false">
      <c r="A2" s="23" t="s">
        <v>0</v>
      </c>
      <c r="B2" s="24" t="s">
        <v>147</v>
      </c>
      <c r="C2" s="24"/>
      <c r="D2" s="24"/>
    </row>
    <row r="3" customFormat="false" ht="19.5" hidden="false" customHeight="true" outlineLevel="0" collapsed="false">
      <c r="A3" s="23"/>
      <c r="B3" s="6" t="s">
        <v>148</v>
      </c>
      <c r="C3" s="6"/>
      <c r="D3" s="6"/>
    </row>
    <row r="4" customFormat="false" ht="18" hidden="false" customHeight="true" outlineLevel="0" collapsed="false">
      <c r="A4" s="23"/>
      <c r="B4" s="25" t="s">
        <v>149</v>
      </c>
      <c r="C4" s="25"/>
      <c r="D4" s="25"/>
    </row>
    <row r="5" customFormat="false" ht="4.5" hidden="false" customHeight="true" outlineLevel="0" collapsed="false">
      <c r="A5" s="1"/>
      <c r="B5" s="1"/>
      <c r="C5" s="1"/>
      <c r="D5" s="1"/>
    </row>
    <row r="6" customFormat="false" ht="7.5" hidden="false" customHeight="true" outlineLevel="0" collapsed="false"/>
    <row r="7" customFormat="false" ht="27.75" hidden="false" customHeight="true" outlineLevel="0" collapsed="false">
      <c r="B7" s="20" t="s">
        <v>150</v>
      </c>
      <c r="C7" s="20" t="s">
        <v>151</v>
      </c>
      <c r="D7" s="20" t="s">
        <v>152</v>
      </c>
    </row>
    <row r="8" customFormat="false" ht="42" hidden="false" customHeight="true" outlineLevel="0" collapsed="false">
      <c r="B8" s="26" t="s">
        <v>22</v>
      </c>
      <c r="C8" s="18" t="s">
        <v>153</v>
      </c>
      <c r="D8" s="27" t="s">
        <v>154</v>
      </c>
    </row>
    <row r="9" customFormat="false" ht="42" hidden="false" customHeight="true" outlineLevel="0" collapsed="false">
      <c r="B9" s="28" t="s">
        <v>23</v>
      </c>
      <c r="C9" s="15" t="s">
        <v>155</v>
      </c>
      <c r="D9" s="29" t="s">
        <v>156</v>
      </c>
    </row>
    <row r="10" customFormat="false" ht="42" hidden="false" customHeight="true" outlineLevel="0" collapsed="false">
      <c r="B10" s="26" t="s">
        <v>24</v>
      </c>
      <c r="C10" s="18" t="s">
        <v>157</v>
      </c>
      <c r="D10" s="27" t="s">
        <v>158</v>
      </c>
    </row>
    <row r="11" customFormat="false" ht="42" hidden="false" customHeight="true" outlineLevel="0" collapsed="false">
      <c r="B11" s="28" t="s">
        <v>25</v>
      </c>
      <c r="C11" s="15" t="s">
        <v>159</v>
      </c>
      <c r="D11" s="29" t="s">
        <v>160</v>
      </c>
    </row>
    <row r="12" customFormat="false" ht="42" hidden="false" customHeight="true" outlineLevel="0" collapsed="false">
      <c r="B12" s="26" t="s">
        <v>161</v>
      </c>
      <c r="C12" s="18" t="s">
        <v>162</v>
      </c>
      <c r="D12" s="27" t="s">
        <v>163</v>
      </c>
    </row>
    <row r="13" customFormat="false" ht="42" hidden="false" customHeight="true" outlineLevel="0" collapsed="false">
      <c r="B13" s="28" t="s">
        <v>27</v>
      </c>
      <c r="C13" s="15" t="s">
        <v>164</v>
      </c>
      <c r="D13" s="29" t="s">
        <v>165</v>
      </c>
    </row>
    <row r="14" customFormat="false" ht="42" hidden="false" customHeight="true" outlineLevel="0" collapsed="false">
      <c r="B14" s="26" t="s">
        <v>166</v>
      </c>
      <c r="C14" s="18" t="s">
        <v>167</v>
      </c>
      <c r="D14" s="27" t="s">
        <v>168</v>
      </c>
    </row>
    <row r="15" customFormat="false" ht="42" hidden="false" customHeight="true" outlineLevel="0" collapsed="false">
      <c r="B15" s="28" t="s">
        <v>31</v>
      </c>
      <c r="C15" s="15" t="s">
        <v>169</v>
      </c>
      <c r="D15" s="29" t="s">
        <v>170</v>
      </c>
    </row>
    <row r="16" customFormat="false" ht="42" hidden="false" customHeight="true" outlineLevel="0" collapsed="false">
      <c r="B16" s="26" t="s">
        <v>171</v>
      </c>
      <c r="C16" s="18" t="s">
        <v>172</v>
      </c>
      <c r="D16" s="27" t="s">
        <v>173</v>
      </c>
    </row>
    <row r="17" customFormat="false" ht="42" hidden="false" customHeight="true" outlineLevel="0" collapsed="false">
      <c r="B17" s="28" t="s">
        <v>33</v>
      </c>
      <c r="C17" s="15" t="s">
        <v>174</v>
      </c>
      <c r="D17" s="29" t="s">
        <v>175</v>
      </c>
    </row>
    <row r="18" customFormat="false" ht="42" hidden="false" customHeight="true" outlineLevel="0" collapsed="false">
      <c r="B18" s="26" t="s">
        <v>34</v>
      </c>
      <c r="C18" s="18" t="s">
        <v>176</v>
      </c>
      <c r="D18" s="27" t="s">
        <v>177</v>
      </c>
    </row>
    <row r="19" customFormat="false" ht="42" hidden="false" customHeight="true" outlineLevel="0" collapsed="false">
      <c r="B19" s="28" t="s">
        <v>178</v>
      </c>
      <c r="C19" s="15" t="s">
        <v>179</v>
      </c>
      <c r="D19" s="29" t="s">
        <v>180</v>
      </c>
    </row>
    <row r="20" customFormat="false" ht="42" hidden="false" customHeight="true" outlineLevel="0" collapsed="false">
      <c r="B20" s="26" t="s">
        <v>36</v>
      </c>
      <c r="C20" s="18" t="s">
        <v>181</v>
      </c>
      <c r="D20" s="27" t="s">
        <v>158</v>
      </c>
    </row>
    <row r="22" customFormat="false" ht="45.75" hidden="false" customHeight="true" outlineLevel="0" collapsed="false">
      <c r="B22" s="30" t="s">
        <v>182</v>
      </c>
      <c r="C22" s="30"/>
      <c r="D22" s="30"/>
    </row>
    <row r="24" customFormat="false" ht="27.75" hidden="false" customHeight="true" outlineLevel="0" collapsed="false">
      <c r="B24" s="31" t="s">
        <v>183</v>
      </c>
      <c r="C24" s="31"/>
      <c r="D24" s="31"/>
    </row>
    <row r="25" customFormat="false" ht="21.75" hidden="false" customHeight="true" outlineLevel="0" collapsed="false">
      <c r="B25" s="32" t="s">
        <v>184</v>
      </c>
      <c r="C25" s="32"/>
      <c r="D25" s="32"/>
    </row>
    <row r="26" customFormat="false" ht="21.75" hidden="false" customHeight="true" outlineLevel="0" collapsed="false">
      <c r="B26" s="33" t="s">
        <v>185</v>
      </c>
      <c r="C26" s="33"/>
      <c r="D26" s="33"/>
    </row>
    <row r="27" customFormat="false" ht="21.75" hidden="false" customHeight="true" outlineLevel="0" collapsed="false">
      <c r="B27" s="32" t="s">
        <v>186</v>
      </c>
      <c r="C27" s="32"/>
      <c r="D27" s="32"/>
    </row>
    <row r="28" customFormat="false" ht="21.75" hidden="false" customHeight="true" outlineLevel="0" collapsed="false">
      <c r="B28" s="33" t="s">
        <v>187</v>
      </c>
      <c r="C28" s="33"/>
      <c r="D28" s="33"/>
    </row>
    <row r="29" customFormat="false" ht="21.75" hidden="false" customHeight="true" outlineLevel="0" collapsed="false">
      <c r="B29" s="32" t="s">
        <v>188</v>
      </c>
      <c r="C29" s="32"/>
      <c r="D29" s="32"/>
    </row>
    <row r="30" customFormat="false" ht="21.75" hidden="false" customHeight="true" outlineLevel="0" collapsed="false">
      <c r="B30" s="33" t="s">
        <v>189</v>
      </c>
      <c r="C30" s="33"/>
      <c r="D30" s="33"/>
    </row>
    <row r="31" customFormat="false" ht="21.75" hidden="false" customHeight="true" outlineLevel="0" collapsed="false">
      <c r="B31" s="32" t="s">
        <v>190</v>
      </c>
      <c r="C31" s="32"/>
      <c r="D31" s="32"/>
    </row>
    <row r="32" customFormat="false" ht="21.75" hidden="false" customHeight="true" outlineLevel="0" collapsed="false">
      <c r="B32" s="34" t="s">
        <v>191</v>
      </c>
      <c r="C32" s="34"/>
      <c r="D32" s="34"/>
    </row>
  </sheetData>
  <mergeCells count="14">
    <mergeCell ref="A2:A4"/>
    <mergeCell ref="B2:D2"/>
    <mergeCell ref="B3:D3"/>
    <mergeCell ref="B4:D4"/>
    <mergeCell ref="B22:D22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2026-04-18T23:40:34Z</dcterms:created>
  <dc:creator>openpyxl</dc:creator>
  <dc:description/>
  <dc:language>en-US</dc:language>
  <cp:lastModifiedBy/>
  <dcterms:modified xsi:type="dcterms:W3CDTF">2026-04-18T23:41:14Z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